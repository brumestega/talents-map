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Users\rbzul\Downloads\"/>
    </mc:Choice>
  </mc:AlternateContent>
  <bookViews>
    <workbookView xWindow="0" yWindow="0" windowWidth="18870" windowHeight="6735"/>
  </bookViews>
  <sheets>
    <sheet name="MAPPA" sheetId="1" r:id="rId1"/>
    <sheet name="DATI&amp;CALCOLI" sheetId="2" state="hidden" r:id="rId2"/>
  </sheets>
  <externalReferences>
    <externalReference r:id="rId3"/>
    <externalReference r:id="rId4"/>
  </externalReferences>
  <definedNames>
    <definedName name="_xlnm.Print_Area" localSheetId="0">MAPPA!$A$7:$L$119</definedName>
    <definedName name="Z_6E89AB40_E0C1_4425_AF8F_3062D9F8C20A_.wvu.PrintArea" localSheetId="0" hidden="1">MAPPA!$A$7:$L$119</definedName>
    <definedName name="Z_6E89AB40_E0C1_4425_AF8F_3062D9F8C20A_.wvu.Rows" localSheetId="0" hidden="1">MAPPA!$55:$96</definedName>
  </definedNames>
  <calcPr calcId="162913"/>
  <customWorkbookViews>
    <customWorkbookView name="Roberto - Visualizzazione personale" guid="{6E89AB40-E0C1-4425-AF8F-3062D9F8C20A}" mergeInterval="0" personalView="1" maximized="1" xWindow="-8" yWindow="-8" windowWidth="1936" windowHeight="1056" activeSheetId="1"/>
  </customWorkbookViews>
</workbook>
</file>

<file path=xl/calcChain.xml><?xml version="1.0" encoding="utf-8"?>
<calcChain xmlns="http://schemas.openxmlformats.org/spreadsheetml/2006/main">
  <c r="A9" i="1" l="1"/>
  <c r="B5" i="2"/>
  <c r="E54" i="2" s="1"/>
  <c r="B4" i="2"/>
  <c r="B3" i="2"/>
  <c r="B8" i="2" s="1"/>
  <c r="B2" i="2"/>
  <c r="B1" i="2"/>
  <c r="A7" i="1"/>
  <c r="C52" i="2"/>
  <c r="C4" i="2"/>
  <c r="C15" i="2"/>
  <c r="E1" i="2" l="1"/>
  <c r="C51" i="2"/>
  <c r="C14" i="2"/>
  <c r="E52" i="2"/>
  <c r="B9" i="2"/>
  <c r="D14" i="2"/>
  <c r="D51" i="2"/>
  <c r="E15" i="2"/>
  <c r="B7" i="2"/>
  <c r="E51" i="2" l="1"/>
  <c r="B54" i="2" s="1"/>
  <c r="G51" i="2"/>
  <c r="B57" i="2"/>
  <c r="C57" i="2" s="1"/>
  <c r="B20" i="2"/>
  <c r="C20" i="2" s="1"/>
  <c r="G14" i="2"/>
  <c r="B58" i="2"/>
  <c r="C58" i="2" s="1"/>
  <c r="B11" i="2"/>
  <c r="C11" i="2" s="1"/>
  <c r="C12" i="2"/>
  <c r="B26" i="2"/>
  <c r="B32" i="2"/>
  <c r="C32" i="2" s="1"/>
  <c r="B59" i="2"/>
  <c r="C59" i="2" s="1"/>
  <c r="E14" i="2"/>
  <c r="C26" i="2"/>
  <c r="B38" i="2" l="1"/>
  <c r="B60" i="2"/>
  <c r="C60" i="2" s="1"/>
  <c r="B17" i="2"/>
  <c r="D11" i="2"/>
  <c r="E11" i="2" s="1"/>
  <c r="B27" i="2"/>
  <c r="C27" i="2" s="1"/>
  <c r="B21" i="2"/>
  <c r="C21" i="2" s="1"/>
  <c r="B33" i="2"/>
  <c r="C38" i="2"/>
  <c r="C33" i="2"/>
  <c r="B62" i="2" l="1"/>
  <c r="C62" i="2" s="1"/>
  <c r="B61" i="2"/>
  <c r="C61" i="2" s="1"/>
  <c r="B45" i="2"/>
  <c r="C45" i="2" s="1"/>
  <c r="B47" i="2"/>
  <c r="B49" i="2"/>
  <c r="B43" i="2"/>
  <c r="C43" i="2" s="1"/>
  <c r="B39" i="2"/>
  <c r="C39" i="2" s="1"/>
  <c r="B48" i="2"/>
  <c r="B65" i="2"/>
  <c r="B71" i="2"/>
  <c r="B44" i="2"/>
  <c r="C44" i="2" s="1"/>
  <c r="C47" i="2"/>
  <c r="C71" i="2"/>
  <c r="B66" i="2" l="1"/>
  <c r="B67" i="2"/>
  <c r="C48" i="2"/>
  <c r="D48" i="2" s="1"/>
  <c r="B22" i="2"/>
  <c r="C22" i="2" s="1"/>
  <c r="B40" i="2"/>
  <c r="C40" i="2" s="1"/>
  <c r="B28" i="2"/>
  <c r="C28" i="2" s="1"/>
  <c r="B34" i="2"/>
  <c r="B46" i="2"/>
  <c r="C46" i="2" s="1"/>
  <c r="C66" i="2"/>
  <c r="C67" i="2"/>
  <c r="C34" i="2"/>
  <c r="B41" i="2" l="1"/>
  <c r="B35" i="2"/>
  <c r="B29" i="2"/>
  <c r="B23" i="2"/>
  <c r="B68" i="2"/>
  <c r="C68" i="2"/>
  <c r="C29" i="2"/>
  <c r="C35" i="2"/>
  <c r="C41" i="2"/>
  <c r="C23" i="2"/>
</calcChain>
</file>

<file path=xl/sharedStrings.xml><?xml version="1.0" encoding="utf-8"?>
<sst xmlns="http://schemas.openxmlformats.org/spreadsheetml/2006/main" count="63" uniqueCount="57">
  <si>
    <t>GIORNO</t>
  </si>
  <si>
    <t>MESE</t>
  </si>
  <si>
    <t>ANNO</t>
  </si>
  <si>
    <t>COGNOME E NOME</t>
  </si>
  <si>
    <t>ANNO PERSON. PROF. 
(IN CORSO O SCELTO)</t>
  </si>
  <si>
    <t>DESIDERIO DI VITA</t>
  </si>
  <si>
    <t>RISPOSTA AUTOMATICA</t>
  </si>
  <si>
    <t>MEMORIA ANTICA GENEALOGICA</t>
  </si>
  <si>
    <t>AMBITO NIDO</t>
  </si>
  <si>
    <t>CONFLITTO NIDO (B)</t>
  </si>
  <si>
    <t>EMOZIONE ORIGINALE NIDO(A)</t>
  </si>
  <si>
    <t>RISPOSTA AL CONFLITTO NIDO (C)</t>
  </si>
  <si>
    <t>AMBITO RELAZIONE</t>
  </si>
  <si>
    <t>AMBITO SOCIALE</t>
  </si>
  <si>
    <t>AMBITO LAVORO</t>
  </si>
  <si>
    <t>CONFLITTO LAVORO (B)</t>
  </si>
  <si>
    <t>EMOZIONE ORIGINALE LAVORO(A)</t>
  </si>
  <si>
    <t>RISPOSTA AL CONFLITTO LAVORO (C)</t>
  </si>
  <si>
    <t>RISPOSTA AL CONFLITTO SOCIALE (C)</t>
  </si>
  <si>
    <t>EMOZIONE ORIGINALE SOCIALE(A)</t>
  </si>
  <si>
    <t>CONFLITTO SOCIALE (B)</t>
  </si>
  <si>
    <t>RISPOSTA AL CONFLITTO RELAZIONE (C)</t>
  </si>
  <si>
    <t>EMOZIONE ORIGINALE RELAZIONE(A)</t>
  </si>
  <si>
    <t>CONFLITTO RELAZIONE (B)</t>
  </si>
  <si>
    <t>CONFLITTO BASE</t>
  </si>
  <si>
    <t>PERSONALITA' PROFONDA</t>
  </si>
  <si>
    <t>VERTICALE</t>
  </si>
  <si>
    <t>ORIZZONTALE</t>
  </si>
  <si>
    <t>PERSONALITA' PROFONDA RISULTATO MAGGIORE</t>
  </si>
  <si>
    <t>SFUMATURA SEQUENZA LAVORO</t>
  </si>
  <si>
    <t>SFUMATURA SEQUENZA SOCIALE</t>
  </si>
  <si>
    <t>SFUMATURA SEQUENZA RELAZIONE</t>
  </si>
  <si>
    <t>SFUMATURA SEQUENZA NIDO</t>
  </si>
  <si>
    <t>EQUILIBRIO</t>
  </si>
  <si>
    <t>CHIAVE EMOZIONALE</t>
  </si>
  <si>
    <t>STRUMENTO LAVORO-POTERE</t>
  </si>
  <si>
    <t>PRONTO SOCCORSO</t>
  </si>
  <si>
    <t>PROGETTO SENSO</t>
  </si>
  <si>
    <t>PERSONAGGIO</t>
  </si>
  <si>
    <t>PERSONALITA' PROFONDA ANNO SCELTO</t>
  </si>
  <si>
    <t>PERSONALITA' PROFONDA ANNO SCELTO
RISULTATO MAGGIORE</t>
  </si>
  <si>
    <t>SUPER SEQUENZA</t>
  </si>
  <si>
    <t>B DELLA SUPER SEQUENZA</t>
  </si>
  <si>
    <t>A DELLA SUPER SEQUENZA</t>
  </si>
  <si>
    <t>C SELLA SUPER SEQUENZA</t>
  </si>
  <si>
    <t>GIUSTIFICAZIONE NIDO</t>
  </si>
  <si>
    <t>GIUSTIFICAZIONE RELAZIONE</t>
  </si>
  <si>
    <t>GIUSTIFICAZIONE SOCIALE</t>
  </si>
  <si>
    <t>GIUSTIFICAZIONE LAVORO</t>
  </si>
  <si>
    <t>GIUSTIFICAZIONI</t>
  </si>
  <si>
    <t>GIUSTIFICAZIONE EQUILIBRIO</t>
  </si>
  <si>
    <t>GIUSTIFICAZIONE PRONTO SOCCORSO</t>
  </si>
  <si>
    <t>SFUMATURA SUPER SEQUENZA</t>
  </si>
  <si>
    <t>NUMERO DESTINO
INTEGRALE DEI CONFLITTI</t>
  </si>
  <si>
    <t>,</t>
  </si>
  <si>
    <t>ANNO P.P. (in corso / scelto)</t>
  </si>
  <si>
    <t>ROBERTO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</si>
</sst>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D1E682"/>
        <bgColor indexed="64"/>
      </patternFill>
    </fill>
    <fill>
      <patternFill patternType="solid">
        <fgColor rgb="FF89FFB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Protection="1"/>
    <xf numFmtId="0" fontId="0" fillId="0" borderId="0" xfId="0" applyBorder="1" applyAlignment="1" applyProtection="1"/>
    <xf numFmtId="0" fontId="0" fillId="0" borderId="0" xfId="0" applyAlignment="1" applyProtection="1"/>
    <xf numFmtId="0" fontId="3" fillId="0" borderId="1" xfId="0" applyFont="1" applyBorder="1" applyProtection="1">
      <protection locked="0"/>
    </xf>
    <xf numFmtId="0" fontId="1" fillId="0" borderId="0" xfId="0" applyFont="1" applyAlignment="1" applyProtection="1">
      <alignment vertical="center" wrapText="1"/>
      <protection hidden="1"/>
    </xf>
    <xf numFmtId="0" fontId="4" fillId="0" borderId="0" xfId="0" applyFont="1" applyAlignment="1" applyProtection="1">
      <alignment horizontal="right" wrapText="1"/>
      <protection hidden="1"/>
    </xf>
    <xf numFmtId="0" fontId="0" fillId="0" borderId="0" xfId="0" applyAlignment="1" applyProtection="1">
      <alignment vertical="top" wrapText="1"/>
      <protection hidden="1"/>
    </xf>
    <xf numFmtId="0" fontId="0" fillId="0" borderId="0" xfId="0" applyProtection="1">
      <protection hidden="1"/>
    </xf>
    <xf numFmtId="0" fontId="1" fillId="0" borderId="0" xfId="0" applyFont="1" applyAlignment="1" applyProtection="1">
      <alignment wrapText="1"/>
      <protection hidden="1"/>
    </xf>
    <xf numFmtId="0" fontId="4" fillId="0" borderId="0" xfId="0" applyFont="1" applyProtection="1">
      <protection hidden="1"/>
    </xf>
    <xf numFmtId="0" fontId="0" fillId="0" borderId="0" xfId="0" applyFont="1" applyAlignment="1" applyProtection="1">
      <alignment vertical="center" wrapText="1"/>
      <protection hidden="1"/>
    </xf>
    <xf numFmtId="0" fontId="5" fillId="2" borderId="1" xfId="0" applyFont="1" applyFill="1" applyBorder="1" applyProtection="1">
      <protection hidden="1"/>
    </xf>
    <xf numFmtId="0" fontId="1" fillId="0" borderId="0" xfId="0" applyFont="1" applyBorder="1" applyAlignment="1" applyProtection="1">
      <alignment vertical="center" wrapText="1"/>
      <protection hidden="1"/>
    </xf>
    <xf numFmtId="0" fontId="0" fillId="0" borderId="0" xfId="0" applyBorder="1" applyProtection="1"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0" fillId="3" borderId="1" xfId="0" applyFill="1" applyBorder="1" applyProtection="1">
      <protection hidden="1"/>
    </xf>
    <xf numFmtId="0" fontId="7" fillId="4" borderId="1" xfId="0" applyFont="1" applyFill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1" fillId="0" borderId="0" xfId="0" applyFont="1" applyFill="1" applyBorder="1" applyAlignment="1" applyProtection="1">
      <alignment wrapText="1"/>
      <protection hidden="1"/>
    </xf>
    <xf numFmtId="0" fontId="5" fillId="0" borderId="0" xfId="0" applyFont="1" applyFill="1" applyBorder="1" applyProtection="1">
      <protection hidden="1"/>
    </xf>
    <xf numFmtId="0" fontId="0" fillId="0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Protection="1">
      <protection hidden="1"/>
    </xf>
    <xf numFmtId="0" fontId="3" fillId="0" borderId="0" xfId="0" applyFont="1" applyFill="1" applyBorder="1" applyProtection="1"/>
    <xf numFmtId="0" fontId="0" fillId="0" borderId="0" xfId="0" applyFill="1" applyAlignment="1" applyProtection="1">
      <alignment wrapText="1"/>
    </xf>
    <xf numFmtId="0" fontId="2" fillId="0" borderId="0" xfId="0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wrapText="1"/>
    </xf>
    <xf numFmtId="0" fontId="3" fillId="0" borderId="10" xfId="0" applyFont="1" applyBorder="1" applyProtection="1">
      <protection locked="0"/>
    </xf>
    <xf numFmtId="0" fontId="0" fillId="0" borderId="0" xfId="0" applyBorder="1" applyProtection="1"/>
    <xf numFmtId="0" fontId="8" fillId="5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0" xfId="0" applyFont="1" applyFill="1" applyBorder="1" applyAlignment="1" applyProtection="1">
      <alignment horizontal="center" vertical="center"/>
    </xf>
    <xf numFmtId="0" fontId="8" fillId="5" borderId="6" xfId="0" applyFont="1" applyFill="1" applyBorder="1" applyAlignment="1" applyProtection="1">
      <alignment horizontal="center" vertical="center"/>
    </xf>
    <xf numFmtId="0" fontId="9" fillId="5" borderId="5" xfId="0" applyFont="1" applyFill="1" applyBorder="1" applyAlignment="1" applyProtection="1">
      <alignment horizontal="center" vertical="center"/>
    </xf>
    <xf numFmtId="0" fontId="9" fillId="5" borderId="0" xfId="0" applyFont="1" applyFill="1" applyBorder="1" applyAlignment="1" applyProtection="1">
      <alignment horizontal="center" vertical="center"/>
    </xf>
    <xf numFmtId="0" fontId="9" fillId="5" borderId="6" xfId="0" applyFont="1" applyFill="1" applyBorder="1" applyAlignment="1" applyProtection="1">
      <alignment horizontal="center" vertical="center"/>
    </xf>
    <xf numFmtId="0" fontId="9" fillId="5" borderId="7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1" xfId="0" applyFont="1" applyBorder="1" applyAlignment="1" applyProtection="1">
      <alignment horizontal="left" vertical="center" wrapText="1"/>
    </xf>
    <xf numFmtId="0" fontId="2" fillId="0" borderId="1" xfId="0" applyFont="1" applyBorder="1" applyAlignment="1" applyProtection="1">
      <alignment horizontal="left" wrapText="1"/>
    </xf>
    <xf numFmtId="0" fontId="12" fillId="0" borderId="1" xfId="0" applyFont="1" applyBorder="1" applyAlignment="1" applyProtection="1">
      <alignment horizontal="left" vertical="center" wrapText="1"/>
      <protection locked="0"/>
    </xf>
    <xf numFmtId="0" fontId="10" fillId="0" borderId="0" xfId="0" applyFont="1" applyAlignment="1" applyProtection="1">
      <alignment horizontal="left"/>
      <protection hidden="1"/>
    </xf>
    <xf numFmtId="0" fontId="10" fillId="0" borderId="0" xfId="0" applyFont="1" applyAlignment="1" applyProtection="1">
      <alignment horizontal="left" wrapText="1"/>
      <protection hidden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105</xdr:row>
      <xdr:rowOff>92616</xdr:rowOff>
    </xdr:from>
    <xdr:to>
      <xdr:col>12</xdr:col>
      <xdr:colOff>11700</xdr:colOff>
      <xdr:row>118</xdr:row>
      <xdr:rowOff>92616</xdr:rowOff>
    </xdr:to>
    <xdr:sp macro="" textlink="">
      <xdr:nvSpPr>
        <xdr:cNvPr id="2" name="Rettangolo 1"/>
        <xdr:cNvSpPr/>
      </xdr:nvSpPr>
      <xdr:spPr>
        <a:xfrm>
          <a:off x="0" y="18571116"/>
          <a:ext cx="16775700" cy="2476500"/>
        </a:xfrm>
        <a:prstGeom prst="rect">
          <a:avLst/>
        </a:prstGeom>
        <a:solidFill>
          <a:srgbClr val="DCD0C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it-IT"/>
        </a:p>
      </xdr:txBody>
    </xdr:sp>
    <xdr:clientData/>
  </xdr:twoCellAnchor>
  <xdr:twoCellAnchor>
    <xdr:from>
      <xdr:col>0</xdr:col>
      <xdr:colOff>14390</xdr:colOff>
      <xdr:row>51</xdr:row>
      <xdr:rowOff>218643</xdr:rowOff>
    </xdr:from>
    <xdr:to>
      <xdr:col>12</xdr:col>
      <xdr:colOff>28135</xdr:colOff>
      <xdr:row>104</xdr:row>
      <xdr:rowOff>80098</xdr:rowOff>
    </xdr:to>
    <xdr:sp macro="" textlink="">
      <xdr:nvSpPr>
        <xdr:cNvPr id="4" name="Rettangolo 3"/>
        <xdr:cNvSpPr/>
      </xdr:nvSpPr>
      <xdr:spPr>
        <a:xfrm>
          <a:off x="14390" y="16506393"/>
          <a:ext cx="16587245" cy="2471305"/>
        </a:xfrm>
        <a:prstGeom prst="rect">
          <a:avLst/>
        </a:prstGeom>
        <a:solidFill>
          <a:srgbClr val="FFEE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it-IT"/>
        </a:p>
      </xdr:txBody>
    </xdr:sp>
    <xdr:clientData/>
  </xdr:twoCellAnchor>
  <xdr:twoCellAnchor>
    <xdr:from>
      <xdr:col>0</xdr:col>
      <xdr:colOff>0</xdr:colOff>
      <xdr:row>26</xdr:row>
      <xdr:rowOff>242454</xdr:rowOff>
    </xdr:from>
    <xdr:to>
      <xdr:col>12</xdr:col>
      <xdr:colOff>12857</xdr:colOff>
      <xdr:row>51</xdr:row>
      <xdr:rowOff>17317</xdr:rowOff>
    </xdr:to>
    <xdr:sp macro="" textlink="">
      <xdr:nvSpPr>
        <xdr:cNvPr id="5" name="Rettangolo 4"/>
        <xdr:cNvSpPr/>
      </xdr:nvSpPr>
      <xdr:spPr>
        <a:xfrm>
          <a:off x="0" y="7227454"/>
          <a:ext cx="16776857" cy="8506113"/>
        </a:xfrm>
        <a:prstGeom prst="rect">
          <a:avLst/>
        </a:prstGeom>
        <a:solidFill>
          <a:srgbClr val="FDDEB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it-IT"/>
        </a:p>
      </xdr:txBody>
    </xdr:sp>
    <xdr:clientData/>
  </xdr:twoCellAnchor>
  <xdr:twoCellAnchor>
    <xdr:from>
      <xdr:col>0</xdr:col>
      <xdr:colOff>0</xdr:colOff>
      <xdr:row>10</xdr:row>
      <xdr:rowOff>329046</xdr:rowOff>
    </xdr:from>
    <xdr:to>
      <xdr:col>12</xdr:col>
      <xdr:colOff>12857</xdr:colOff>
      <xdr:row>26</xdr:row>
      <xdr:rowOff>242455</xdr:rowOff>
    </xdr:to>
    <xdr:sp macro="" textlink="">
      <xdr:nvSpPr>
        <xdr:cNvPr id="6" name="Rettangolo 5"/>
        <xdr:cNvSpPr/>
      </xdr:nvSpPr>
      <xdr:spPr>
        <a:xfrm>
          <a:off x="0" y="1776846"/>
          <a:ext cx="16586357" cy="5704609"/>
        </a:xfrm>
        <a:prstGeom prst="rect">
          <a:avLst/>
        </a:prstGeom>
        <a:solidFill>
          <a:srgbClr val="CEEBF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it-IT"/>
        </a:p>
      </xdr:txBody>
    </xdr:sp>
    <xdr:clientData/>
  </xdr:twoCellAnchor>
  <xdr:twoCellAnchor>
    <xdr:from>
      <xdr:col>1</xdr:col>
      <xdr:colOff>276225</xdr:colOff>
      <xdr:row>14</xdr:row>
      <xdr:rowOff>9525</xdr:rowOff>
    </xdr:from>
    <xdr:to>
      <xdr:col>10</xdr:col>
      <xdr:colOff>981075</xdr:colOff>
      <xdr:row>26</xdr:row>
      <xdr:rowOff>161925</xdr:rowOff>
    </xdr:to>
    <xdr:grpSp>
      <xdr:nvGrpSpPr>
        <xdr:cNvPr id="4888" name="Gruppo 6"/>
        <xdr:cNvGrpSpPr>
          <a:grpSpLocks/>
        </xdr:cNvGrpSpPr>
      </xdr:nvGrpSpPr>
      <xdr:grpSpPr bwMode="auto">
        <a:xfrm>
          <a:off x="1661680" y="4875934"/>
          <a:ext cx="13173940" cy="4516582"/>
          <a:chOff x="1658554" y="2916759"/>
          <a:chExt cx="13175707" cy="4516677"/>
        </a:xfrm>
      </xdr:grpSpPr>
      <xdr:sp macro="" textlink="'DATI&amp;CALCOLI'!C57">
        <xdr:nvSpPr>
          <xdr:cNvPr id="8" name="Ovale 7"/>
          <xdr:cNvSpPr/>
        </xdr:nvSpPr>
        <xdr:spPr>
          <a:xfrm>
            <a:off x="4706451" y="6218144"/>
            <a:ext cx="1375853" cy="1215292"/>
          </a:xfrm>
          <a:prstGeom prst="ellipse">
            <a:avLst/>
          </a:prstGeom>
          <a:solidFill>
            <a:srgbClr val="ABE9FF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2960A193-60AE-47A2-8D8E-1A624E45CE57}" type="TxLink">
              <a:rPr lang="en-US" sz="5400" b="1" i="0" u="none" strike="noStrike">
                <a:solidFill>
                  <a:srgbClr val="000000"/>
                </a:solidFill>
                <a:latin typeface="Calibri"/>
                <a:ea typeface="+mn-ea"/>
                <a:cs typeface="+mn-cs"/>
              </a:rPr>
              <a:pPr marL="0" indent="0" algn="ctr"/>
              <a:t>9</a:t>
            </a:fld>
            <a:endParaRPr lang="it-IT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'DATI&amp;CALCOLI'!C59">
        <xdr:nvSpPr>
          <xdr:cNvPr id="9" name="Ovale 8"/>
          <xdr:cNvSpPr/>
        </xdr:nvSpPr>
        <xdr:spPr>
          <a:xfrm>
            <a:off x="10152538" y="6170298"/>
            <a:ext cx="1366299" cy="1253569"/>
          </a:xfrm>
          <a:prstGeom prst="ellipse">
            <a:avLst/>
          </a:prstGeom>
          <a:solidFill>
            <a:srgbClr val="ABE9FF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0A8F0E16-CA8D-42B5-9911-DE38233840B3}" type="TxLink">
              <a:rPr lang="en-US" sz="5400" b="1" i="0" u="none" strike="noStrike">
                <a:solidFill>
                  <a:srgbClr val="000000"/>
                </a:solidFill>
                <a:latin typeface="Calibri"/>
                <a:ea typeface="+mn-ea"/>
                <a:cs typeface="+mn-cs"/>
              </a:rPr>
              <a:pPr marL="0" indent="0" algn="ctr"/>
              <a:t>18</a:t>
            </a:fld>
            <a:endParaRPr lang="it-IT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'DATI&amp;CALCOLI'!C58">
        <xdr:nvSpPr>
          <xdr:cNvPr id="10" name="Ovale 9"/>
          <xdr:cNvSpPr/>
        </xdr:nvSpPr>
        <xdr:spPr>
          <a:xfrm>
            <a:off x="7276622" y="5864082"/>
            <a:ext cx="1375853" cy="1234431"/>
          </a:xfrm>
          <a:prstGeom prst="ellipse">
            <a:avLst/>
          </a:prstGeom>
          <a:solidFill>
            <a:srgbClr val="ABE9FF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DEEF5C22-D8BC-4F83-A6D4-F7B0DD35069C}" type="TxLink">
              <a:rPr lang="en-US" sz="5400" b="1" i="0" u="none" strike="noStrike">
                <a:solidFill>
                  <a:srgbClr val="000000"/>
                </a:solidFill>
                <a:latin typeface="Calibri"/>
                <a:ea typeface="+mn-ea"/>
                <a:cs typeface="+mn-cs"/>
              </a:rPr>
              <a:pPr marL="0" indent="0" algn="ctr"/>
              <a:t>9</a:t>
            </a:fld>
            <a:endParaRPr lang="it-IT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'DATI&amp;CALCOLI'!C60">
        <xdr:nvSpPr>
          <xdr:cNvPr id="11" name="Ovale 10"/>
          <xdr:cNvSpPr/>
        </xdr:nvSpPr>
        <xdr:spPr>
          <a:xfrm>
            <a:off x="7276622" y="2926328"/>
            <a:ext cx="1375853" cy="1205723"/>
          </a:xfrm>
          <a:prstGeom prst="ellipse">
            <a:avLst/>
          </a:prstGeom>
          <a:solidFill>
            <a:srgbClr val="ABE9FF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52E92B8C-339A-4999-83D1-9C4185E5C141}" type="TxLink">
              <a:rPr lang="en-US" sz="5400" b="1" i="0" u="none" strike="noStrike">
                <a:solidFill>
                  <a:srgbClr val="000000"/>
                </a:solidFill>
                <a:latin typeface="Calibri"/>
                <a:ea typeface="+mn-ea"/>
                <a:cs typeface="+mn-cs"/>
              </a:rPr>
              <a:pPr marL="0" indent="0" algn="ctr"/>
              <a:t>9</a:t>
            </a:fld>
            <a:endParaRPr lang="it-IT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'DATI&amp;CALCOLI'!C62">
        <xdr:nvSpPr>
          <xdr:cNvPr id="12" name="Ovale 11"/>
          <xdr:cNvSpPr/>
        </xdr:nvSpPr>
        <xdr:spPr>
          <a:xfrm>
            <a:off x="1658554" y="2945467"/>
            <a:ext cx="1299417" cy="1196154"/>
          </a:xfrm>
          <a:prstGeom prst="ellipse">
            <a:avLst/>
          </a:prstGeom>
          <a:solidFill>
            <a:srgbClr val="ABE9FF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08A69CC8-077A-4BD2-A4B9-F34B4A28F28F}" type="TxLink">
              <a:rPr lang="en-US" sz="5400" b="1" i="0" u="none" strike="noStrike">
                <a:solidFill>
                  <a:srgbClr val="000000"/>
                </a:solidFill>
                <a:latin typeface="Calibri"/>
                <a:ea typeface="+mn-ea"/>
                <a:cs typeface="+mn-cs"/>
              </a:rPr>
              <a:pPr marL="0" indent="0" algn="ctr"/>
              <a:t>1</a:t>
            </a:fld>
            <a:endParaRPr lang="it-IT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'DATI&amp;CALCOLI'!C61">
        <xdr:nvSpPr>
          <xdr:cNvPr id="13" name="Ovale 12"/>
          <xdr:cNvSpPr/>
        </xdr:nvSpPr>
        <xdr:spPr>
          <a:xfrm>
            <a:off x="13553953" y="2916759"/>
            <a:ext cx="1280308" cy="1196154"/>
          </a:xfrm>
          <a:prstGeom prst="ellipse">
            <a:avLst/>
          </a:prstGeom>
          <a:solidFill>
            <a:srgbClr val="ABE9FF"/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1B0E4AD7-29BB-4387-B252-C1D1699061F4}" type="TxLink">
              <a:rPr lang="en-US" sz="5400" b="1" i="0" u="none" strike="noStrike">
                <a:solidFill>
                  <a:srgbClr val="000000"/>
                </a:solidFill>
                <a:latin typeface="Calibri"/>
                <a:ea typeface="+mn-ea"/>
                <a:cs typeface="+mn-cs"/>
              </a:rPr>
              <a:pPr marL="0" indent="0" algn="ctr"/>
              <a:t>6</a:t>
            </a:fld>
            <a:endParaRPr lang="it-IT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47625</xdr:colOff>
      <xdr:row>11</xdr:row>
      <xdr:rowOff>142875</xdr:rowOff>
    </xdr:from>
    <xdr:to>
      <xdr:col>10</xdr:col>
      <xdr:colOff>1333500</xdr:colOff>
      <xdr:row>22</xdr:row>
      <xdr:rowOff>295275</xdr:rowOff>
    </xdr:to>
    <xdr:grpSp>
      <xdr:nvGrpSpPr>
        <xdr:cNvPr id="4889" name="Gruppo 13"/>
        <xdr:cNvGrpSpPr>
          <a:grpSpLocks/>
        </xdr:cNvGrpSpPr>
      </xdr:nvGrpSpPr>
      <xdr:grpSpPr bwMode="auto">
        <a:xfrm>
          <a:off x="1433080" y="3918239"/>
          <a:ext cx="13754965" cy="4152900"/>
          <a:chOff x="1430616" y="1959413"/>
          <a:chExt cx="13756268" cy="4157088"/>
        </a:xfrm>
      </xdr:grpSpPr>
      <xdr:sp macro="" textlink="">
        <xdr:nvSpPr>
          <xdr:cNvPr id="15" name="Rettangolo 14"/>
          <xdr:cNvSpPr/>
        </xdr:nvSpPr>
        <xdr:spPr>
          <a:xfrm>
            <a:off x="6990441" y="5043704"/>
            <a:ext cx="1853275" cy="775862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500" b="1"/>
              <a:t>GIUSTIFICAZIONE</a:t>
            </a:r>
            <a:r>
              <a:rPr lang="it-IT" sz="1500" b="1" baseline="0"/>
              <a:t> RELAZIONE</a:t>
            </a:r>
            <a:endParaRPr lang="it-IT" sz="1500" b="1"/>
          </a:p>
        </xdr:txBody>
      </xdr:sp>
      <xdr:sp macro="" textlink="">
        <xdr:nvSpPr>
          <xdr:cNvPr id="16" name="Rettangolo 15"/>
          <xdr:cNvSpPr/>
        </xdr:nvSpPr>
        <xdr:spPr>
          <a:xfrm>
            <a:off x="3713774" y="5340639"/>
            <a:ext cx="1843722" cy="775862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500" b="1"/>
              <a:t>GIUSTIFICAZIONE</a:t>
            </a:r>
            <a:r>
              <a:rPr lang="it-IT" sz="1500" b="1" baseline="0"/>
              <a:t> NIDO</a:t>
            </a:r>
            <a:endParaRPr lang="it-IT" sz="1500" b="1"/>
          </a:p>
        </xdr:txBody>
      </xdr:sp>
      <xdr:sp macro="" textlink="">
        <xdr:nvSpPr>
          <xdr:cNvPr id="17" name="Rettangolo 16"/>
          <xdr:cNvSpPr/>
        </xdr:nvSpPr>
        <xdr:spPr>
          <a:xfrm>
            <a:off x="10496379" y="5311903"/>
            <a:ext cx="1843722" cy="775862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500" b="1"/>
              <a:t>GIUSTIFICAZIONE</a:t>
            </a:r>
            <a:r>
              <a:rPr lang="it-IT" sz="1500" b="1" baseline="0"/>
              <a:t> SOCIALE</a:t>
            </a:r>
            <a:endParaRPr lang="it-IT" sz="1500" b="1"/>
          </a:p>
        </xdr:txBody>
      </xdr:sp>
      <xdr:sp macro="" textlink="">
        <xdr:nvSpPr>
          <xdr:cNvPr id="18" name="Rettangolo 17"/>
          <xdr:cNvSpPr/>
        </xdr:nvSpPr>
        <xdr:spPr>
          <a:xfrm>
            <a:off x="7028653" y="2083934"/>
            <a:ext cx="1853275" cy="766284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500" b="1"/>
              <a:t>GIUSTIFICAZIONE</a:t>
            </a:r>
            <a:r>
              <a:rPr lang="it-IT" sz="1500" b="1" baseline="0"/>
              <a:t> LAVORO</a:t>
            </a:r>
            <a:endParaRPr lang="it-IT" sz="1500" b="1"/>
          </a:p>
        </xdr:txBody>
      </xdr:sp>
      <xdr:sp macro="" textlink="">
        <xdr:nvSpPr>
          <xdr:cNvPr id="19" name="Rettangolo 18"/>
          <xdr:cNvSpPr/>
        </xdr:nvSpPr>
        <xdr:spPr>
          <a:xfrm>
            <a:off x="1430616" y="1959413"/>
            <a:ext cx="1967911" cy="8908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500" b="1"/>
              <a:t>GIUSTIFICAZIONE</a:t>
            </a:r>
            <a:r>
              <a:rPr lang="it-IT" sz="1500" b="1" baseline="0"/>
              <a:t> PRONTO SOCCORSO</a:t>
            </a:r>
            <a:endParaRPr lang="it-IT" sz="1500" b="1"/>
          </a:p>
        </xdr:txBody>
      </xdr:sp>
      <xdr:sp macro="" textlink="">
        <xdr:nvSpPr>
          <xdr:cNvPr id="20" name="Rettangolo 19"/>
          <xdr:cNvSpPr/>
        </xdr:nvSpPr>
        <xdr:spPr>
          <a:xfrm>
            <a:off x="13343162" y="2064777"/>
            <a:ext cx="1843722" cy="766284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500" b="1"/>
              <a:t>GIUSTIFICAZIONE</a:t>
            </a:r>
            <a:r>
              <a:rPr lang="it-IT" sz="1500" b="1" baseline="0"/>
              <a:t> EQUILIBRIO</a:t>
            </a:r>
            <a:endParaRPr lang="it-IT" sz="1500" b="1"/>
          </a:p>
        </xdr:txBody>
      </xdr:sp>
    </xdr:grpSp>
    <xdr:clientData/>
  </xdr:twoCellAnchor>
  <xdr:twoCellAnchor>
    <xdr:from>
      <xdr:col>3</xdr:col>
      <xdr:colOff>582441</xdr:colOff>
      <xdr:row>30</xdr:row>
      <xdr:rowOff>89301</xdr:rowOff>
    </xdr:from>
    <xdr:to>
      <xdr:col>4</xdr:col>
      <xdr:colOff>542650</xdr:colOff>
      <xdr:row>33</xdr:row>
      <xdr:rowOff>186840</xdr:rowOff>
    </xdr:to>
    <xdr:sp macro="" textlink="'DATI&amp;CALCOLI'!B7">
      <xdr:nvSpPr>
        <xdr:cNvPr id="21" name="Ovale 20"/>
        <xdr:cNvSpPr/>
      </xdr:nvSpPr>
      <xdr:spPr>
        <a:xfrm>
          <a:off x="4725816" y="8776101"/>
          <a:ext cx="1341334" cy="1183389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B8CB440A-0022-4E2C-BECB-31C72C8D32AA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10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428462</xdr:colOff>
      <xdr:row>30</xdr:row>
      <xdr:rowOff>71428</xdr:rowOff>
    </xdr:from>
    <xdr:to>
      <xdr:col>6</xdr:col>
      <xdr:colOff>341653</xdr:colOff>
      <xdr:row>33</xdr:row>
      <xdr:rowOff>204714</xdr:rowOff>
    </xdr:to>
    <xdr:sp macro="" textlink="'DATI&amp;CALCOLI'!B8">
      <xdr:nvSpPr>
        <xdr:cNvPr id="22" name="Ovale 21"/>
        <xdr:cNvSpPr/>
      </xdr:nvSpPr>
      <xdr:spPr>
        <a:xfrm>
          <a:off x="7334087" y="8758228"/>
          <a:ext cx="1294316" cy="1219136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A91027A3-837A-4A8F-82F7-41E52AEBF61C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428130</xdr:colOff>
      <xdr:row>30</xdr:row>
      <xdr:rowOff>89301</xdr:rowOff>
    </xdr:from>
    <xdr:to>
      <xdr:col>8</xdr:col>
      <xdr:colOff>448167</xdr:colOff>
      <xdr:row>33</xdr:row>
      <xdr:rowOff>186840</xdr:rowOff>
    </xdr:to>
    <xdr:sp macro="" textlink="'DATI&amp;CALCOLI'!B9">
      <xdr:nvSpPr>
        <xdr:cNvPr id="23" name="Ovale 22"/>
        <xdr:cNvSpPr/>
      </xdr:nvSpPr>
      <xdr:spPr>
        <a:xfrm>
          <a:off x="10096005" y="8776101"/>
          <a:ext cx="1401162" cy="1183389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1561B7D5-8F5F-4F85-BE93-41795687061F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19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218015</xdr:colOff>
      <xdr:row>30</xdr:row>
      <xdr:rowOff>89300</xdr:rowOff>
    </xdr:from>
    <xdr:to>
      <xdr:col>2</xdr:col>
      <xdr:colOff>239683</xdr:colOff>
      <xdr:row>33</xdr:row>
      <xdr:rowOff>186839</xdr:rowOff>
    </xdr:to>
    <xdr:sp macro="" textlink="'DATI&amp;CALCOLI'!E11">
      <xdr:nvSpPr>
        <xdr:cNvPr id="24" name="Ovale 23"/>
        <xdr:cNvSpPr/>
      </xdr:nvSpPr>
      <xdr:spPr>
        <a:xfrm>
          <a:off x="1599140" y="8776100"/>
          <a:ext cx="1402793" cy="1183389"/>
        </a:xfrm>
        <a:prstGeom prst="ellipse">
          <a:avLst/>
        </a:prstGeom>
        <a:solidFill>
          <a:srgbClr val="D08B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4ABB2862-26E4-4713-B926-AE0E6BB652FC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8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1036804</xdr:colOff>
      <xdr:row>30</xdr:row>
      <xdr:rowOff>111450</xdr:rowOff>
    </xdr:from>
    <xdr:to>
      <xdr:col>10</xdr:col>
      <xdr:colOff>1025264</xdr:colOff>
      <xdr:row>33</xdr:row>
      <xdr:rowOff>208989</xdr:rowOff>
    </xdr:to>
    <xdr:sp macro="" textlink="'DATI&amp;CALCOLI'!B17">
      <xdr:nvSpPr>
        <xdr:cNvPr id="25" name="Ovale 24"/>
        <xdr:cNvSpPr/>
      </xdr:nvSpPr>
      <xdr:spPr>
        <a:xfrm>
          <a:off x="13466929" y="8798250"/>
          <a:ext cx="1369585" cy="1183389"/>
        </a:xfrm>
        <a:prstGeom prst="ellipse">
          <a:avLst/>
        </a:prstGeom>
        <a:solidFill>
          <a:srgbClr val="E575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3952E2E6-7FCE-4D42-8069-C5D5E0556D3F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582439</xdr:colOff>
      <xdr:row>36</xdr:row>
      <xdr:rowOff>111792</xdr:rowOff>
    </xdr:from>
    <xdr:to>
      <xdr:col>4</xdr:col>
      <xdr:colOff>542648</xdr:colOff>
      <xdr:row>39</xdr:row>
      <xdr:rowOff>225723</xdr:rowOff>
    </xdr:to>
    <xdr:sp macro="" textlink="'DATI&amp;CALCOLI'!C20">
      <xdr:nvSpPr>
        <xdr:cNvPr id="26" name="Ovale 25"/>
        <xdr:cNvSpPr/>
      </xdr:nvSpPr>
      <xdr:spPr>
        <a:xfrm>
          <a:off x="4725814" y="10970292"/>
          <a:ext cx="1341334" cy="1199781"/>
        </a:xfrm>
        <a:prstGeom prst="ellipse">
          <a:avLst/>
        </a:prstGeom>
        <a:solidFill>
          <a:srgbClr val="FF7C8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1A1BE67A-1A31-4878-8B9C-9EE11E933E09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11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471615</xdr:colOff>
      <xdr:row>36</xdr:row>
      <xdr:rowOff>111792</xdr:rowOff>
    </xdr:from>
    <xdr:to>
      <xdr:col>8</xdr:col>
      <xdr:colOff>398673</xdr:colOff>
      <xdr:row>39</xdr:row>
      <xdr:rowOff>256763</xdr:rowOff>
    </xdr:to>
    <xdr:sp macro="" textlink="'DATI&amp;CALCOLI'!C32">
      <xdr:nvSpPr>
        <xdr:cNvPr id="27" name="Ovale 26"/>
        <xdr:cNvSpPr/>
      </xdr:nvSpPr>
      <xdr:spPr>
        <a:xfrm>
          <a:off x="10139490" y="10970292"/>
          <a:ext cx="1308183" cy="1230821"/>
        </a:xfrm>
        <a:prstGeom prst="ellipse">
          <a:avLst/>
        </a:prstGeom>
        <a:solidFill>
          <a:srgbClr val="FF7C8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6A2C3ADD-71F4-4D9B-9645-15365049EB6C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20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404953</xdr:colOff>
      <xdr:row>37</xdr:row>
      <xdr:rowOff>147777</xdr:rowOff>
    </xdr:from>
    <xdr:to>
      <xdr:col>6</xdr:col>
      <xdr:colOff>365162</xdr:colOff>
      <xdr:row>40</xdr:row>
      <xdr:rowOff>261712</xdr:rowOff>
    </xdr:to>
    <xdr:sp macro="" textlink="'DATI&amp;CALCOLI'!C26">
      <xdr:nvSpPr>
        <xdr:cNvPr id="28" name="Ovale 27"/>
        <xdr:cNvSpPr/>
      </xdr:nvSpPr>
      <xdr:spPr>
        <a:xfrm>
          <a:off x="7310578" y="11368227"/>
          <a:ext cx="1341334" cy="1199785"/>
        </a:xfrm>
        <a:prstGeom prst="ellipse">
          <a:avLst/>
        </a:prstGeom>
        <a:solidFill>
          <a:srgbClr val="FF7C8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97E61212-D4EA-485E-887B-C84604C348D8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11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404953</xdr:colOff>
      <xdr:row>45</xdr:row>
      <xdr:rowOff>161727</xdr:rowOff>
    </xdr:from>
    <xdr:to>
      <xdr:col>6</xdr:col>
      <xdr:colOff>365162</xdr:colOff>
      <xdr:row>48</xdr:row>
      <xdr:rowOff>275660</xdr:rowOff>
    </xdr:to>
    <xdr:sp macro="" textlink="'DATI&amp;CALCOLI'!C38">
      <xdr:nvSpPr>
        <xdr:cNvPr id="29" name="Ovale 28"/>
        <xdr:cNvSpPr/>
      </xdr:nvSpPr>
      <xdr:spPr>
        <a:xfrm>
          <a:off x="7310578" y="14277777"/>
          <a:ext cx="1341334" cy="1199783"/>
        </a:xfrm>
        <a:prstGeom prst="ellipse">
          <a:avLst/>
        </a:prstGeom>
        <a:solidFill>
          <a:srgbClr val="FF7C8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0270543F-F4BB-4396-AE22-DCB561658E10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4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215190</xdr:colOff>
      <xdr:row>45</xdr:row>
      <xdr:rowOff>161727</xdr:rowOff>
    </xdr:from>
    <xdr:to>
      <xdr:col>2</xdr:col>
      <xdr:colOff>231210</xdr:colOff>
      <xdr:row>48</xdr:row>
      <xdr:rowOff>275660</xdr:rowOff>
    </xdr:to>
    <xdr:sp macro="" textlink="'DATI&amp;CALCOLI'!C44">
      <xdr:nvSpPr>
        <xdr:cNvPr id="30" name="Ovale 29"/>
        <xdr:cNvSpPr/>
      </xdr:nvSpPr>
      <xdr:spPr>
        <a:xfrm>
          <a:off x="1596315" y="14277777"/>
          <a:ext cx="1397145" cy="1199783"/>
        </a:xfrm>
        <a:prstGeom prst="ellipse">
          <a:avLst/>
        </a:prstGeom>
        <a:solidFill>
          <a:srgbClr val="FFFF93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7D68572F-F469-4618-926F-2D90F8FEAD2F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12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1034063</xdr:colOff>
      <xdr:row>45</xdr:row>
      <xdr:rowOff>161727</xdr:rowOff>
    </xdr:from>
    <xdr:to>
      <xdr:col>10</xdr:col>
      <xdr:colOff>1028001</xdr:colOff>
      <xdr:row>48</xdr:row>
      <xdr:rowOff>275660</xdr:rowOff>
    </xdr:to>
    <xdr:sp macro="" textlink="'DATI&amp;CALCOLI'!C43">
      <xdr:nvSpPr>
        <xdr:cNvPr id="31" name="Ovale 30"/>
        <xdr:cNvSpPr/>
      </xdr:nvSpPr>
      <xdr:spPr>
        <a:xfrm>
          <a:off x="13464188" y="14277777"/>
          <a:ext cx="1375063" cy="1199783"/>
        </a:xfrm>
        <a:prstGeom prst="ellipse">
          <a:avLst/>
        </a:prstGeom>
        <a:solidFill>
          <a:srgbClr val="00EA6A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EB71CC6C-6171-428E-B149-F46B9D18B921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7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1106848</xdr:colOff>
      <xdr:row>39</xdr:row>
      <xdr:rowOff>298539</xdr:rowOff>
    </xdr:from>
    <xdr:to>
      <xdr:col>9</xdr:col>
      <xdr:colOff>1066800</xdr:colOff>
      <xdr:row>43</xdr:row>
      <xdr:rowOff>46427</xdr:rowOff>
    </xdr:to>
    <xdr:sp macro="" textlink="'DATI&amp;CALCOLI'!C45">
      <xdr:nvSpPr>
        <xdr:cNvPr id="32" name="Ovale 31"/>
        <xdr:cNvSpPr/>
      </xdr:nvSpPr>
      <xdr:spPr>
        <a:xfrm>
          <a:off x="12155848" y="12242889"/>
          <a:ext cx="1341077" cy="1195688"/>
        </a:xfrm>
        <a:prstGeom prst="ellipse">
          <a:avLst/>
        </a:prstGeom>
        <a:solidFill>
          <a:srgbClr val="B7B7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F390024C-9469-4749-895C-C7558C0068F6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14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1378574</xdr:colOff>
      <xdr:row>35</xdr:row>
      <xdr:rowOff>248707</xdr:rowOff>
    </xdr:from>
    <xdr:to>
      <xdr:col>3</xdr:col>
      <xdr:colOff>747266</xdr:colOff>
      <xdr:row>37</xdr:row>
      <xdr:rowOff>124547</xdr:rowOff>
    </xdr:to>
    <xdr:sp macro="" textlink="'DATI&amp;CALCOLI'!C21">
      <xdr:nvSpPr>
        <xdr:cNvPr id="33" name="Ovale 32"/>
        <xdr:cNvSpPr/>
      </xdr:nvSpPr>
      <xdr:spPr>
        <a:xfrm>
          <a:off x="4154431" y="10903100"/>
          <a:ext cx="756621" cy="610626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F149E9C5-BD04-4698-9CA7-26FF25B6B32A}" type="TxLink"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21</a:t>
          </a:fld>
          <a:endParaRPr lang="it-IT" sz="2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249266</xdr:colOff>
      <xdr:row>38</xdr:row>
      <xdr:rowOff>337696</xdr:rowOff>
    </xdr:from>
    <xdr:to>
      <xdr:col>4</xdr:col>
      <xdr:colOff>951137</xdr:colOff>
      <xdr:row>40</xdr:row>
      <xdr:rowOff>213538</xdr:rowOff>
    </xdr:to>
    <xdr:sp macro="" textlink="'DATI&amp;CALCOLI'!C22">
      <xdr:nvSpPr>
        <xdr:cNvPr id="34" name="Ovale 33"/>
        <xdr:cNvSpPr/>
      </xdr:nvSpPr>
      <xdr:spPr>
        <a:xfrm>
          <a:off x="5773766" y="11920096"/>
          <a:ext cx="701871" cy="599742"/>
        </a:xfrm>
        <a:prstGeom prst="ellipse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1136B4C0-AD41-49AF-8930-67CDE41EAD75}" type="TxLink"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18</a:t>
          </a:fld>
          <a:endParaRPr lang="it-IT" sz="2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1306402</xdr:colOff>
      <xdr:row>36</xdr:row>
      <xdr:rowOff>147869</xdr:rowOff>
    </xdr:from>
    <xdr:to>
      <xdr:col>5</xdr:col>
      <xdr:colOff>695785</xdr:colOff>
      <xdr:row>38</xdr:row>
      <xdr:rowOff>23710</xdr:rowOff>
    </xdr:to>
    <xdr:sp macro="" textlink="'DATI&amp;CALCOLI'!C27">
      <xdr:nvSpPr>
        <xdr:cNvPr id="35" name="Ovale 34"/>
        <xdr:cNvSpPr/>
      </xdr:nvSpPr>
      <xdr:spPr>
        <a:xfrm>
          <a:off x="6858116" y="11169655"/>
          <a:ext cx="777312" cy="610626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0E1FF0D5-C9A7-4C24-BACD-F31D868800C2}" type="TxLink"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21</a:t>
          </a:fld>
          <a:endParaRPr lang="it-IT" sz="2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91677</xdr:colOff>
      <xdr:row>40</xdr:row>
      <xdr:rowOff>10073</xdr:rowOff>
    </xdr:from>
    <xdr:to>
      <xdr:col>6</xdr:col>
      <xdr:colOff>847762</xdr:colOff>
      <xdr:row>41</xdr:row>
      <xdr:rowOff>246806</xdr:rowOff>
    </xdr:to>
    <xdr:sp macro="" textlink="'DATI&amp;CALCOLI'!C28">
      <xdr:nvSpPr>
        <xdr:cNvPr id="36" name="Ovale 35"/>
        <xdr:cNvSpPr/>
      </xdr:nvSpPr>
      <xdr:spPr>
        <a:xfrm>
          <a:off x="8378427" y="12316373"/>
          <a:ext cx="756085" cy="598683"/>
        </a:xfrm>
        <a:prstGeom prst="ellipse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5C8B0841-B306-4724-99DD-00827CE43387}" type="TxLink"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18</a:t>
          </a:fld>
          <a:endParaRPr lang="it-IT" sz="2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1294289</xdr:colOff>
      <xdr:row>35</xdr:row>
      <xdr:rowOff>219970</xdr:rowOff>
    </xdr:from>
    <xdr:to>
      <xdr:col>7</xdr:col>
      <xdr:colOff>655558</xdr:colOff>
      <xdr:row>37</xdr:row>
      <xdr:rowOff>95810</xdr:rowOff>
    </xdr:to>
    <xdr:sp macro="" textlink="'DATI&amp;CALCOLI'!C33">
      <xdr:nvSpPr>
        <xdr:cNvPr id="37" name="Ovale 36"/>
        <xdr:cNvSpPr/>
      </xdr:nvSpPr>
      <xdr:spPr>
        <a:xfrm>
          <a:off x="9581039" y="10716520"/>
          <a:ext cx="742394" cy="599740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9464A22B-36E2-4A15-BF77-2C88A1680B66}" type="TxLink"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</a:t>
          </a:fld>
          <a:endParaRPr lang="it-IT" sz="2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214435</xdr:colOff>
      <xdr:row>38</xdr:row>
      <xdr:rowOff>273181</xdr:rowOff>
    </xdr:from>
    <xdr:to>
      <xdr:col>8</xdr:col>
      <xdr:colOff>947462</xdr:colOff>
      <xdr:row>40</xdr:row>
      <xdr:rowOff>167971</xdr:rowOff>
    </xdr:to>
    <xdr:sp macro="" textlink="'DATI&amp;CALCOLI'!C34">
      <xdr:nvSpPr>
        <xdr:cNvPr id="38" name="Ovale 37"/>
        <xdr:cNvSpPr/>
      </xdr:nvSpPr>
      <xdr:spPr>
        <a:xfrm>
          <a:off x="11263435" y="11855581"/>
          <a:ext cx="733027" cy="618690"/>
        </a:xfrm>
        <a:prstGeom prst="ellipse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02355667-436A-4A25-BA5A-FCA1F9DD85BC}" type="TxLink"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9</a:t>
          </a:fld>
          <a:endParaRPr lang="it-IT" sz="2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1239149</xdr:colOff>
      <xdr:row>44</xdr:row>
      <xdr:rowOff>205032</xdr:rowOff>
    </xdr:from>
    <xdr:to>
      <xdr:col>5</xdr:col>
      <xdr:colOff>635336</xdr:colOff>
      <xdr:row>46</xdr:row>
      <xdr:rowOff>80875</xdr:rowOff>
    </xdr:to>
    <xdr:sp macro="" textlink="'DATI&amp;CALCOLI'!C39">
      <xdr:nvSpPr>
        <xdr:cNvPr id="39" name="Ovale 38"/>
        <xdr:cNvSpPr/>
      </xdr:nvSpPr>
      <xdr:spPr>
        <a:xfrm>
          <a:off x="6763649" y="13959132"/>
          <a:ext cx="777312" cy="599743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841F718B-2A76-40C8-956D-CE46722EED15}" type="TxLink"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14</a:t>
          </a:fld>
          <a:endParaRPr lang="it-IT" sz="2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93401</xdr:colOff>
      <xdr:row>48</xdr:row>
      <xdr:rowOff>21256</xdr:rowOff>
    </xdr:from>
    <xdr:to>
      <xdr:col>6</xdr:col>
      <xdr:colOff>873180</xdr:colOff>
      <xdr:row>49</xdr:row>
      <xdr:rowOff>251486</xdr:rowOff>
    </xdr:to>
    <xdr:sp macro="" textlink="'DATI&amp;CALCOLI'!C40">
      <xdr:nvSpPr>
        <xdr:cNvPr id="40" name="Ovale 39"/>
        <xdr:cNvSpPr/>
      </xdr:nvSpPr>
      <xdr:spPr>
        <a:xfrm>
          <a:off x="8380151" y="15223156"/>
          <a:ext cx="779779" cy="592180"/>
        </a:xfrm>
        <a:prstGeom prst="ellipse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7390D3EC-924E-4C99-A1A2-B438C4FD020F}" type="TxLink"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11</a:t>
          </a:fld>
          <a:endParaRPr lang="it-IT" sz="2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968201</xdr:colOff>
      <xdr:row>107</xdr:row>
      <xdr:rowOff>174488</xdr:rowOff>
    </xdr:from>
    <xdr:to>
      <xdr:col>2</xdr:col>
      <xdr:colOff>343696</xdr:colOff>
      <xdr:row>111</xdr:row>
      <xdr:rowOff>15691</xdr:rowOff>
    </xdr:to>
    <xdr:sp macro="" textlink="'DATI&amp;CALCOLI'!C66">
      <xdr:nvSpPr>
        <xdr:cNvPr id="41" name="Ovale 40"/>
        <xdr:cNvSpPr/>
      </xdr:nvSpPr>
      <xdr:spPr>
        <a:xfrm>
          <a:off x="2349326" y="19414988"/>
          <a:ext cx="756620" cy="603203"/>
        </a:xfrm>
        <a:prstGeom prst="ellips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042A3926-91EE-4E8A-9A0B-20A4919429FA}" type="TxLink"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18</a:t>
          </a:fld>
          <a:endParaRPr lang="it-IT" sz="2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914400</xdr:colOff>
      <xdr:row>33</xdr:row>
      <xdr:rowOff>9525</xdr:rowOff>
    </xdr:from>
    <xdr:to>
      <xdr:col>10</xdr:col>
      <xdr:colOff>342900</xdr:colOff>
      <xdr:row>47</xdr:row>
      <xdr:rowOff>57150</xdr:rowOff>
    </xdr:to>
    <xdr:grpSp>
      <xdr:nvGrpSpPr>
        <xdr:cNvPr id="4911" name="Gruppo 41"/>
        <xdr:cNvGrpSpPr>
          <a:grpSpLocks/>
        </xdr:cNvGrpSpPr>
      </xdr:nvGrpSpPr>
      <xdr:grpSpPr bwMode="auto">
        <a:xfrm>
          <a:off x="2299855" y="11785889"/>
          <a:ext cx="11897590" cy="5139170"/>
          <a:chOff x="2302510" y="9825939"/>
          <a:chExt cx="11897411" cy="5141218"/>
        </a:xfrm>
      </xdr:grpSpPr>
      <xdr:cxnSp macro="">
        <xdr:nvCxnSpPr>
          <xdr:cNvPr id="43" name="Connettore 2 42"/>
          <xdr:cNvCxnSpPr>
            <a:stCxn id="21" idx="4"/>
            <a:endCxn id="26" idx="0"/>
          </xdr:cNvCxnSpPr>
        </xdr:nvCxnSpPr>
        <xdr:spPr>
          <a:xfrm flipH="1">
            <a:off x="5417816" y="10007844"/>
            <a:ext cx="0" cy="1014840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ttore 2 43"/>
          <xdr:cNvCxnSpPr>
            <a:stCxn id="23" idx="4"/>
            <a:endCxn id="27" idx="0"/>
          </xdr:cNvCxnSpPr>
        </xdr:nvCxnSpPr>
        <xdr:spPr>
          <a:xfrm flipH="1">
            <a:off x="10817043" y="10007844"/>
            <a:ext cx="0" cy="1014840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ttore 2 44"/>
          <xdr:cNvCxnSpPr>
            <a:stCxn id="27" idx="3"/>
            <a:endCxn id="29" idx="0"/>
          </xdr:cNvCxnSpPr>
        </xdr:nvCxnSpPr>
        <xdr:spPr>
          <a:xfrm flipH="1">
            <a:off x="8007534" y="12075820"/>
            <a:ext cx="2350814" cy="2269029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ttore 2 45"/>
          <xdr:cNvCxnSpPr>
            <a:stCxn id="24" idx="4"/>
            <a:endCxn id="30" idx="0"/>
          </xdr:cNvCxnSpPr>
        </xdr:nvCxnSpPr>
        <xdr:spPr>
          <a:xfrm flipH="1">
            <a:off x="2302510" y="10007844"/>
            <a:ext cx="9556" cy="4337005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ttore 2 46"/>
          <xdr:cNvCxnSpPr>
            <a:stCxn id="22" idx="3"/>
            <a:endCxn id="26" idx="0"/>
          </xdr:cNvCxnSpPr>
        </xdr:nvCxnSpPr>
        <xdr:spPr>
          <a:xfrm flipH="1">
            <a:off x="5408260" y="9845087"/>
            <a:ext cx="2140578" cy="1177597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Connettore 2 47"/>
          <xdr:cNvCxnSpPr>
            <a:stCxn id="21" idx="5"/>
            <a:endCxn id="28" idx="0"/>
          </xdr:cNvCxnSpPr>
        </xdr:nvCxnSpPr>
        <xdr:spPr>
          <a:xfrm>
            <a:off x="5886068" y="9835513"/>
            <a:ext cx="2121466" cy="1589278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Connettore 2 48"/>
          <xdr:cNvCxnSpPr>
            <a:stCxn id="23" idx="3"/>
            <a:endCxn id="28" idx="0"/>
          </xdr:cNvCxnSpPr>
        </xdr:nvCxnSpPr>
        <xdr:spPr>
          <a:xfrm flipH="1">
            <a:off x="7997977" y="9825939"/>
            <a:ext cx="2331701" cy="1598852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ttore 2 49"/>
          <xdr:cNvCxnSpPr>
            <a:stCxn id="22" idx="5"/>
            <a:endCxn id="27" idx="0"/>
          </xdr:cNvCxnSpPr>
        </xdr:nvCxnSpPr>
        <xdr:spPr>
          <a:xfrm>
            <a:off x="8466229" y="9845087"/>
            <a:ext cx="2360370" cy="1177597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ttore 2 50"/>
          <xdr:cNvCxnSpPr>
            <a:stCxn id="26" idx="4"/>
            <a:endCxn id="29" idx="0"/>
          </xdr:cNvCxnSpPr>
        </xdr:nvCxnSpPr>
        <xdr:spPr>
          <a:xfrm>
            <a:off x="5417816" y="12229004"/>
            <a:ext cx="2589718" cy="2115846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ttore 2 51"/>
          <xdr:cNvCxnSpPr>
            <a:stCxn id="29" idx="2"/>
          </xdr:cNvCxnSpPr>
        </xdr:nvCxnSpPr>
        <xdr:spPr>
          <a:xfrm flipH="1">
            <a:off x="2971441" y="14948009"/>
            <a:ext cx="4357606" cy="19148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ttore 2 52"/>
          <xdr:cNvCxnSpPr>
            <a:stCxn id="29" idx="6"/>
            <a:endCxn id="31" idx="2"/>
          </xdr:cNvCxnSpPr>
        </xdr:nvCxnSpPr>
        <xdr:spPr>
          <a:xfrm>
            <a:off x="8676464" y="14948009"/>
            <a:ext cx="4825857" cy="0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ttore 2 53"/>
          <xdr:cNvCxnSpPr>
            <a:stCxn id="25" idx="4"/>
            <a:endCxn id="31" idx="0"/>
          </xdr:cNvCxnSpPr>
        </xdr:nvCxnSpPr>
        <xdr:spPr>
          <a:xfrm flipH="1">
            <a:off x="14199921" y="10026992"/>
            <a:ext cx="0" cy="4317857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ttore 2 54"/>
          <xdr:cNvCxnSpPr>
            <a:stCxn id="28" idx="6"/>
            <a:endCxn id="32" idx="2"/>
          </xdr:cNvCxnSpPr>
        </xdr:nvCxnSpPr>
        <xdr:spPr>
          <a:xfrm>
            <a:off x="8676464" y="12018376"/>
            <a:ext cx="3516664" cy="880805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923925</xdr:colOff>
      <xdr:row>15</xdr:row>
      <xdr:rowOff>238125</xdr:rowOff>
    </xdr:from>
    <xdr:to>
      <xdr:col>10</xdr:col>
      <xdr:colOff>342900</xdr:colOff>
      <xdr:row>39</xdr:row>
      <xdr:rowOff>295275</xdr:rowOff>
    </xdr:to>
    <xdr:grpSp>
      <xdr:nvGrpSpPr>
        <xdr:cNvPr id="4912" name="Gruppo 55"/>
        <xdr:cNvGrpSpPr>
          <a:grpSpLocks/>
        </xdr:cNvGrpSpPr>
      </xdr:nvGrpSpPr>
      <xdr:grpSpPr bwMode="auto">
        <a:xfrm>
          <a:off x="2309380" y="5468216"/>
          <a:ext cx="11888065" cy="8785514"/>
          <a:chOff x="2304774" y="3511888"/>
          <a:chExt cx="11891682" cy="8788264"/>
        </a:xfrm>
      </xdr:grpSpPr>
      <xdr:cxnSp macro="">
        <xdr:nvCxnSpPr>
          <xdr:cNvPr id="57" name="Connettore 2 56"/>
          <xdr:cNvCxnSpPr>
            <a:stCxn id="25" idx="3"/>
            <a:endCxn id="32" idx="0"/>
          </xdr:cNvCxnSpPr>
        </xdr:nvCxnSpPr>
        <xdr:spPr>
          <a:xfrm flipH="1">
            <a:off x="12867723" y="9858968"/>
            <a:ext cx="850771" cy="2441184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ttore 2 57"/>
          <xdr:cNvCxnSpPr>
            <a:stCxn id="11" idx="2"/>
            <a:endCxn id="12" idx="6"/>
          </xdr:cNvCxnSpPr>
        </xdr:nvCxnSpPr>
        <xdr:spPr>
          <a:xfrm flipH="1">
            <a:off x="2954802" y="3521461"/>
            <a:ext cx="4330331" cy="19147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Connettore 2 58"/>
          <xdr:cNvCxnSpPr>
            <a:stCxn id="11" idx="6"/>
            <a:endCxn id="13" idx="2"/>
          </xdr:cNvCxnSpPr>
        </xdr:nvCxnSpPr>
        <xdr:spPr>
          <a:xfrm flipV="1">
            <a:off x="8652103" y="3511888"/>
            <a:ext cx="4903885" cy="9573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Connettore 2 59"/>
          <xdr:cNvCxnSpPr>
            <a:stCxn id="25" idx="0"/>
            <a:endCxn id="13" idx="4"/>
          </xdr:cNvCxnSpPr>
        </xdr:nvCxnSpPr>
        <xdr:spPr>
          <a:xfrm flipV="1">
            <a:off x="14196456" y="4115004"/>
            <a:ext cx="0" cy="4729197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Connettore 2 60"/>
          <xdr:cNvCxnSpPr>
            <a:stCxn id="21" idx="0"/>
            <a:endCxn id="8" idx="4"/>
          </xdr:cNvCxnSpPr>
        </xdr:nvCxnSpPr>
        <xdr:spPr>
          <a:xfrm flipH="1" flipV="1">
            <a:off x="5401964" y="7436930"/>
            <a:ext cx="9559" cy="1378551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Connettore 2 61"/>
          <xdr:cNvCxnSpPr>
            <a:stCxn id="24" idx="0"/>
            <a:endCxn id="12" idx="4"/>
          </xdr:cNvCxnSpPr>
        </xdr:nvCxnSpPr>
        <xdr:spPr>
          <a:xfrm flipV="1">
            <a:off x="2304774" y="4143724"/>
            <a:ext cx="0" cy="4671757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Connettore 2 62"/>
          <xdr:cNvCxnSpPr>
            <a:stCxn id="22" idx="1"/>
            <a:endCxn id="8" idx="4"/>
          </xdr:cNvCxnSpPr>
        </xdr:nvCxnSpPr>
        <xdr:spPr>
          <a:xfrm flipH="1" flipV="1">
            <a:off x="5401964" y="7436930"/>
            <a:ext cx="2141267" cy="1541297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nettore 2 63"/>
          <xdr:cNvCxnSpPr>
            <a:stCxn id="21" idx="7"/>
            <a:endCxn id="10" idx="3"/>
          </xdr:cNvCxnSpPr>
        </xdr:nvCxnSpPr>
        <xdr:spPr>
          <a:xfrm flipV="1">
            <a:off x="5889485" y="6910400"/>
            <a:ext cx="1596391" cy="2086973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nettore 2 64"/>
          <xdr:cNvCxnSpPr>
            <a:stCxn id="23" idx="1"/>
            <a:endCxn id="10" idx="5"/>
          </xdr:cNvCxnSpPr>
        </xdr:nvCxnSpPr>
        <xdr:spPr>
          <a:xfrm flipH="1" flipV="1">
            <a:off x="8451359" y="6900826"/>
            <a:ext cx="1873609" cy="2096547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nettore 2 65"/>
          <xdr:cNvCxnSpPr>
            <a:stCxn id="23" idx="0"/>
            <a:endCxn id="9" idx="4"/>
          </xdr:cNvCxnSpPr>
        </xdr:nvCxnSpPr>
        <xdr:spPr>
          <a:xfrm flipV="1">
            <a:off x="10822048" y="7427356"/>
            <a:ext cx="0" cy="1388124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Connettore 2 66"/>
          <xdr:cNvCxnSpPr>
            <a:stCxn id="22" idx="7"/>
            <a:endCxn id="9" idx="4"/>
          </xdr:cNvCxnSpPr>
        </xdr:nvCxnSpPr>
        <xdr:spPr>
          <a:xfrm flipV="1">
            <a:off x="8460918" y="7427356"/>
            <a:ext cx="2370689" cy="1550870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Connettore 2 67"/>
          <xdr:cNvCxnSpPr>
            <a:stCxn id="8" idx="7"/>
            <a:endCxn id="11" idx="3"/>
          </xdr:cNvCxnSpPr>
        </xdr:nvCxnSpPr>
        <xdr:spPr>
          <a:xfrm flipV="1">
            <a:off x="5879926" y="3952259"/>
            <a:ext cx="1596391" cy="2441184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nettore 2 68"/>
          <xdr:cNvCxnSpPr>
            <a:stCxn id="9" idx="1"/>
            <a:endCxn id="11" idx="5"/>
          </xdr:cNvCxnSpPr>
        </xdr:nvCxnSpPr>
        <xdr:spPr>
          <a:xfrm flipH="1" flipV="1">
            <a:off x="8451359" y="3952259"/>
            <a:ext cx="1902287" cy="2402891"/>
          </a:xfrm>
          <a:prstGeom prst="straightConnector1">
            <a:avLst/>
          </a:prstGeom>
          <a:ln w="28575" cap="rnd">
            <a:solidFill>
              <a:sysClr val="windowText" lastClr="000000"/>
            </a:solidFill>
            <a:miter lim="800000"/>
            <a:headEnd type="none" w="med" len="med"/>
            <a:tailEnd type="arrow" w="med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771525</xdr:colOff>
      <xdr:row>26</xdr:row>
      <xdr:rowOff>285750</xdr:rowOff>
    </xdr:from>
    <xdr:to>
      <xdr:col>11</xdr:col>
      <xdr:colOff>723900</xdr:colOff>
      <xdr:row>50</xdr:row>
      <xdr:rowOff>247650</xdr:rowOff>
    </xdr:to>
    <xdr:grpSp>
      <xdr:nvGrpSpPr>
        <xdr:cNvPr id="4913" name="Gruppo 69"/>
        <xdr:cNvGrpSpPr>
          <a:grpSpLocks/>
        </xdr:cNvGrpSpPr>
      </xdr:nvGrpSpPr>
      <xdr:grpSpPr bwMode="auto">
        <a:xfrm>
          <a:off x="771525" y="9516341"/>
          <a:ext cx="15192375" cy="8690264"/>
          <a:chOff x="437221" y="7555325"/>
          <a:chExt cx="15196470" cy="8695504"/>
        </a:xfrm>
      </xdr:grpSpPr>
      <xdr:sp macro="" textlink="">
        <xdr:nvSpPr>
          <xdr:cNvPr id="71" name="Rettangolo 70"/>
          <xdr:cNvSpPr/>
        </xdr:nvSpPr>
        <xdr:spPr>
          <a:xfrm>
            <a:off x="3065541" y="8311872"/>
            <a:ext cx="1424072" cy="67993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/>
              <a:t>DESIDERIO</a:t>
            </a:r>
            <a:r>
              <a:rPr lang="it-IT" sz="1600" b="1" baseline="0"/>
              <a:t> DI VITA</a:t>
            </a:r>
            <a:endParaRPr lang="it-IT" sz="1600" b="1"/>
          </a:p>
        </xdr:txBody>
      </xdr:sp>
      <xdr:sp macro="" textlink="">
        <xdr:nvSpPr>
          <xdr:cNvPr id="72" name="Rettangolo 71"/>
          <xdr:cNvSpPr/>
        </xdr:nvSpPr>
        <xdr:spPr>
          <a:xfrm>
            <a:off x="6993685" y="8062882"/>
            <a:ext cx="1424072" cy="67993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/>
              <a:t>RISPOSTA AUTOMATICA</a:t>
            </a:r>
          </a:p>
        </xdr:txBody>
      </xdr:sp>
      <xdr:sp macro="" textlink="">
        <xdr:nvSpPr>
          <xdr:cNvPr id="73" name="Rettangolo 72"/>
          <xdr:cNvSpPr/>
        </xdr:nvSpPr>
        <xdr:spPr>
          <a:xfrm>
            <a:off x="11017405" y="8302296"/>
            <a:ext cx="1347611" cy="67993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/>
              <a:t>MEMORIA</a:t>
            </a:r>
            <a:r>
              <a:rPr lang="it-IT" sz="1600" b="1" baseline="0"/>
              <a:t> ANTICA</a:t>
            </a:r>
            <a:endParaRPr lang="it-IT" sz="1600" b="1"/>
          </a:p>
        </xdr:txBody>
      </xdr:sp>
      <xdr:sp macro="" textlink="">
        <xdr:nvSpPr>
          <xdr:cNvPr id="74" name="Rettangolo 73"/>
          <xdr:cNvSpPr/>
        </xdr:nvSpPr>
        <xdr:spPr>
          <a:xfrm>
            <a:off x="437221" y="8082035"/>
            <a:ext cx="1414514" cy="689511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/>
              <a:t>CONFLITTO</a:t>
            </a:r>
            <a:r>
              <a:rPr lang="it-IT" sz="1600" b="1" baseline="0"/>
              <a:t> BASE</a:t>
            </a:r>
            <a:endParaRPr lang="it-IT" sz="1600" b="1"/>
          </a:p>
        </xdr:txBody>
      </xdr:sp>
      <xdr:sp macro="" textlink="">
        <xdr:nvSpPr>
          <xdr:cNvPr id="75" name="Rettangolo 74"/>
          <xdr:cNvSpPr/>
        </xdr:nvSpPr>
        <xdr:spPr>
          <a:xfrm>
            <a:off x="14075814" y="8139494"/>
            <a:ext cx="1557877" cy="699088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/>
              <a:t>PERSONALITA'</a:t>
            </a:r>
          </a:p>
          <a:p>
            <a:pPr algn="ctr"/>
            <a:r>
              <a:rPr lang="it-IT" sz="1600" b="1"/>
              <a:t>PROFONDA</a:t>
            </a:r>
          </a:p>
        </xdr:txBody>
      </xdr:sp>
      <xdr:sp macro="" textlink="">
        <xdr:nvSpPr>
          <xdr:cNvPr id="76" name="Rettangolo 75"/>
          <xdr:cNvSpPr/>
        </xdr:nvSpPr>
        <xdr:spPr>
          <a:xfrm>
            <a:off x="3505188" y="12257409"/>
            <a:ext cx="1395399" cy="660782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/>
              <a:t>CONFLITTO</a:t>
            </a:r>
            <a:r>
              <a:rPr lang="it-IT" sz="1600" b="1" baseline="0"/>
              <a:t> NIDO</a:t>
            </a:r>
            <a:endParaRPr lang="it-IT" sz="1600" b="1"/>
          </a:p>
        </xdr:txBody>
      </xdr:sp>
      <xdr:sp macro="" textlink="">
        <xdr:nvSpPr>
          <xdr:cNvPr id="77" name="Rettangolo 76"/>
          <xdr:cNvSpPr/>
        </xdr:nvSpPr>
        <xdr:spPr>
          <a:xfrm>
            <a:off x="6534924" y="12669201"/>
            <a:ext cx="1443187" cy="67993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/>
              <a:t>CONFLITTO</a:t>
            </a:r>
            <a:r>
              <a:rPr lang="it-IT" sz="1600" b="1" baseline="0"/>
              <a:t> RELAZIONE</a:t>
            </a:r>
            <a:endParaRPr lang="it-IT" sz="1600" b="1"/>
          </a:p>
        </xdr:txBody>
      </xdr:sp>
      <xdr:sp macro="" textlink="">
        <xdr:nvSpPr>
          <xdr:cNvPr id="78" name="Rettangolo 77"/>
          <xdr:cNvSpPr/>
        </xdr:nvSpPr>
        <xdr:spPr>
          <a:xfrm>
            <a:off x="10893157" y="10428289"/>
            <a:ext cx="1452744" cy="718241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/>
              <a:t>CONFLITTO</a:t>
            </a:r>
            <a:r>
              <a:rPr lang="it-IT" sz="1600" b="1" baseline="0"/>
              <a:t> SOCIALE</a:t>
            </a:r>
            <a:endParaRPr lang="it-IT" sz="1600" b="1"/>
          </a:p>
        </xdr:txBody>
      </xdr:sp>
      <xdr:sp macro="" textlink="">
        <xdr:nvSpPr>
          <xdr:cNvPr id="79" name="Rettangolo 78"/>
          <xdr:cNvSpPr/>
        </xdr:nvSpPr>
        <xdr:spPr>
          <a:xfrm>
            <a:off x="6018818" y="15570894"/>
            <a:ext cx="1433629" cy="67993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/>
              <a:t>CONFLITTO</a:t>
            </a:r>
            <a:r>
              <a:rPr lang="it-IT" sz="1600" b="1" baseline="0"/>
              <a:t> LAVORO</a:t>
            </a:r>
            <a:endParaRPr lang="it-IT" sz="1600" b="1"/>
          </a:p>
        </xdr:txBody>
      </xdr:sp>
      <xdr:sp macro="" textlink="">
        <xdr:nvSpPr>
          <xdr:cNvPr id="80" name="Rettangolo 79"/>
          <xdr:cNvSpPr/>
        </xdr:nvSpPr>
        <xdr:spPr>
          <a:xfrm>
            <a:off x="1326071" y="15618777"/>
            <a:ext cx="1357169" cy="632052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/>
              <a:t>PRONTO</a:t>
            </a:r>
            <a:r>
              <a:rPr lang="it-IT" sz="1600" b="1" baseline="0"/>
              <a:t> SOCCORSO</a:t>
            </a:r>
            <a:endParaRPr lang="it-IT" sz="1600" b="1"/>
          </a:p>
        </xdr:txBody>
      </xdr:sp>
      <xdr:sp macro="" textlink="">
        <xdr:nvSpPr>
          <xdr:cNvPr id="81" name="Rettangolo 80"/>
          <xdr:cNvSpPr/>
        </xdr:nvSpPr>
        <xdr:spPr>
          <a:xfrm>
            <a:off x="13225194" y="15599624"/>
            <a:ext cx="1318939" cy="440521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/>
              <a:t>EQUILIBRIO</a:t>
            </a:r>
          </a:p>
        </xdr:txBody>
      </xdr:sp>
      <xdr:sp macro="" textlink="">
        <xdr:nvSpPr>
          <xdr:cNvPr id="82" name="Rettangolo 81"/>
          <xdr:cNvSpPr/>
        </xdr:nvSpPr>
        <xdr:spPr>
          <a:xfrm>
            <a:off x="11543069" y="13559820"/>
            <a:ext cx="1576992" cy="689511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/>
              <a:t>CHIAVE EMOZIONALE</a:t>
            </a:r>
          </a:p>
        </xdr:txBody>
      </xdr:sp>
      <xdr:sp macro="" textlink="">
        <xdr:nvSpPr>
          <xdr:cNvPr id="83" name="Rettangolo 82"/>
          <xdr:cNvSpPr/>
        </xdr:nvSpPr>
        <xdr:spPr>
          <a:xfrm>
            <a:off x="3189789" y="7804315"/>
            <a:ext cx="1032213" cy="392638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 u="sng"/>
              <a:t>GIORNO</a:t>
            </a:r>
          </a:p>
        </xdr:txBody>
      </xdr:sp>
      <xdr:sp macro="" textlink="">
        <xdr:nvSpPr>
          <xdr:cNvPr id="84" name="Rettangolo 83"/>
          <xdr:cNvSpPr/>
        </xdr:nvSpPr>
        <xdr:spPr>
          <a:xfrm>
            <a:off x="7175278" y="7555325"/>
            <a:ext cx="1099116" cy="392638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 u="sng"/>
              <a:t>MESE</a:t>
            </a:r>
          </a:p>
        </xdr:txBody>
      </xdr:sp>
      <xdr:sp macro="" textlink="">
        <xdr:nvSpPr>
          <xdr:cNvPr id="85" name="Rettangolo 84"/>
          <xdr:cNvSpPr/>
        </xdr:nvSpPr>
        <xdr:spPr>
          <a:xfrm>
            <a:off x="11170325" y="7766009"/>
            <a:ext cx="1032213" cy="392638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600" b="1" u="sng"/>
              <a:t>ANNO</a:t>
            </a:r>
          </a:p>
        </xdr:txBody>
      </xdr:sp>
    </xdr:grpSp>
    <xdr:clientData/>
  </xdr:twoCellAnchor>
  <xdr:twoCellAnchor>
    <xdr:from>
      <xdr:col>1</xdr:col>
      <xdr:colOff>1349721</xdr:colOff>
      <xdr:row>52</xdr:row>
      <xdr:rowOff>29742</xdr:rowOff>
    </xdr:from>
    <xdr:to>
      <xdr:col>2</xdr:col>
      <xdr:colOff>1348029</xdr:colOff>
      <xdr:row>98</xdr:row>
      <xdr:rowOff>97476</xdr:rowOff>
    </xdr:to>
    <xdr:sp macro="" textlink="'DATI&amp;CALCOLI'!C46">
      <xdr:nvSpPr>
        <xdr:cNvPr id="86" name="Ovale 85"/>
        <xdr:cNvSpPr/>
      </xdr:nvSpPr>
      <xdr:spPr>
        <a:xfrm>
          <a:off x="2746721" y="16095242"/>
          <a:ext cx="1395308" cy="1147234"/>
        </a:xfrm>
        <a:prstGeom prst="ellipse">
          <a:avLst/>
        </a:prstGeom>
        <a:solidFill>
          <a:srgbClr val="FFD1F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D39CDEC9-87B8-41B5-8DE1-34C915540590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17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399954</xdr:colOff>
      <xdr:row>52</xdr:row>
      <xdr:rowOff>29742</xdr:rowOff>
    </xdr:from>
    <xdr:to>
      <xdr:col>5</xdr:col>
      <xdr:colOff>394339</xdr:colOff>
      <xdr:row>98</xdr:row>
      <xdr:rowOff>97476</xdr:rowOff>
    </xdr:to>
    <xdr:sp macro="" textlink="'DATI&amp;CALCOLI'!C47">
      <xdr:nvSpPr>
        <xdr:cNvPr id="87" name="Ovale 86"/>
        <xdr:cNvSpPr/>
      </xdr:nvSpPr>
      <xdr:spPr>
        <a:xfrm>
          <a:off x="5987954" y="16095242"/>
          <a:ext cx="1391385" cy="1147234"/>
        </a:xfrm>
        <a:prstGeom prst="ellipse">
          <a:avLst/>
        </a:prstGeom>
        <a:solidFill>
          <a:srgbClr val="96F2A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4CBABE34-8838-497E-94F3-4DA87DDF2916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13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1108615</xdr:colOff>
      <xdr:row>98</xdr:row>
      <xdr:rowOff>187077</xdr:rowOff>
    </xdr:from>
    <xdr:to>
      <xdr:col>3</xdr:col>
      <xdr:colOff>210876</xdr:colOff>
      <xdr:row>103</xdr:row>
      <xdr:rowOff>57000</xdr:rowOff>
    </xdr:to>
    <xdr:sp macro="" textlink="">
      <xdr:nvSpPr>
        <xdr:cNvPr id="88" name="Rettangolo 87"/>
        <xdr:cNvSpPr/>
      </xdr:nvSpPr>
      <xdr:spPr>
        <a:xfrm>
          <a:off x="2505615" y="17332077"/>
          <a:ext cx="1896261" cy="82242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600" b="1"/>
            <a:t>STRUMENTO</a:t>
          </a:r>
          <a:r>
            <a:rPr lang="it-IT" sz="1600" b="1" baseline="0"/>
            <a:t> DI POTERE / LAVORO</a:t>
          </a:r>
          <a:endParaRPr lang="it-IT" sz="1600" b="1"/>
        </a:p>
      </xdr:txBody>
    </xdr:sp>
    <xdr:clientData/>
  </xdr:twoCellAnchor>
  <xdr:twoCellAnchor>
    <xdr:from>
      <xdr:col>4</xdr:col>
      <xdr:colOff>139257</xdr:colOff>
      <xdr:row>98</xdr:row>
      <xdr:rowOff>187077</xdr:rowOff>
    </xdr:from>
    <xdr:to>
      <xdr:col>5</xdr:col>
      <xdr:colOff>666639</xdr:colOff>
      <xdr:row>103</xdr:row>
      <xdr:rowOff>57000</xdr:rowOff>
    </xdr:to>
    <xdr:sp macro="" textlink="">
      <xdr:nvSpPr>
        <xdr:cNvPr id="89" name="Rettangolo 88"/>
        <xdr:cNvSpPr/>
      </xdr:nvSpPr>
      <xdr:spPr>
        <a:xfrm>
          <a:off x="5727257" y="17332077"/>
          <a:ext cx="1924382" cy="82242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600" b="1"/>
            <a:t>PROGETTO</a:t>
          </a:r>
          <a:r>
            <a:rPr lang="it-IT" sz="1600" b="1" baseline="0"/>
            <a:t> </a:t>
          </a:r>
          <a:br>
            <a:rPr lang="it-IT" sz="1600" b="1" baseline="0"/>
          </a:br>
          <a:r>
            <a:rPr lang="it-IT" sz="1600" b="1" baseline="0"/>
            <a:t>SENSO</a:t>
          </a:r>
          <a:endParaRPr lang="it-IT" sz="1600" b="1"/>
        </a:p>
      </xdr:txBody>
    </xdr:sp>
    <xdr:clientData/>
  </xdr:twoCellAnchor>
  <xdr:twoCellAnchor>
    <xdr:from>
      <xdr:col>2</xdr:col>
      <xdr:colOff>1056348</xdr:colOff>
      <xdr:row>35</xdr:row>
      <xdr:rowOff>23154</xdr:rowOff>
    </xdr:from>
    <xdr:to>
      <xdr:col>3</xdr:col>
      <xdr:colOff>64419</xdr:colOff>
      <xdr:row>35</xdr:row>
      <xdr:rowOff>329154</xdr:rowOff>
    </xdr:to>
    <xdr:sp macro="" textlink="'DATI&amp;CALCOLI'!C23">
      <xdr:nvSpPr>
        <xdr:cNvPr id="90" name="Rettangolo 89"/>
        <xdr:cNvSpPr/>
      </xdr:nvSpPr>
      <xdr:spPr>
        <a:xfrm>
          <a:off x="3818598" y="10519704"/>
          <a:ext cx="389196" cy="306000"/>
        </a:xfrm>
        <a:prstGeom prst="rect">
          <a:avLst/>
        </a:prstGeom>
        <a:gradFill flip="none" rotWithShape="1">
          <a:gsLst>
            <a:gs pos="0">
              <a:srgbClr val="ECA2E7">
                <a:tint val="66000"/>
                <a:satMod val="160000"/>
              </a:srgbClr>
            </a:gs>
            <a:gs pos="50000">
              <a:srgbClr val="ECA2E7">
                <a:tint val="44500"/>
                <a:satMod val="160000"/>
              </a:srgbClr>
            </a:gs>
            <a:gs pos="100000">
              <a:srgbClr val="ECA2E7">
                <a:tint val="23500"/>
                <a:satMod val="160000"/>
              </a:srgbClr>
            </a:gs>
          </a:gsLst>
          <a:path path="circle">
            <a:fillToRect r="100000" b="100000"/>
          </a:path>
          <a:tileRect l="-100000" t="-100000"/>
        </a:gra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709DD63-4D98-46D2-8BDF-988A6BF071B5}" type="TxLink">
            <a:rPr lang="en-US" sz="1600" b="1" i="1" u="sng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5</a:t>
          </a:fld>
          <a:endParaRPr lang="it-IT" sz="1600" b="1" i="1" u="sng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933884</xdr:colOff>
      <xdr:row>35</xdr:row>
      <xdr:rowOff>336117</xdr:rowOff>
    </xdr:from>
    <xdr:to>
      <xdr:col>4</xdr:col>
      <xdr:colOff>1329884</xdr:colOff>
      <xdr:row>36</xdr:row>
      <xdr:rowOff>274724</xdr:rowOff>
    </xdr:to>
    <xdr:sp macro="" textlink="'DATI&amp;CALCOLI'!C29">
      <xdr:nvSpPr>
        <xdr:cNvPr id="91" name="Rettangolo 90"/>
        <xdr:cNvSpPr/>
      </xdr:nvSpPr>
      <xdr:spPr>
        <a:xfrm>
          <a:off x="6458384" y="10832667"/>
          <a:ext cx="396000" cy="300557"/>
        </a:xfrm>
        <a:prstGeom prst="rect">
          <a:avLst/>
        </a:prstGeom>
        <a:gradFill flip="none" rotWithShape="1">
          <a:gsLst>
            <a:gs pos="0">
              <a:srgbClr val="ECA2E7">
                <a:tint val="66000"/>
                <a:satMod val="160000"/>
              </a:srgbClr>
            </a:gs>
            <a:gs pos="50000">
              <a:srgbClr val="ECA2E7">
                <a:tint val="44500"/>
                <a:satMod val="160000"/>
              </a:srgbClr>
            </a:gs>
            <a:gs pos="100000">
              <a:srgbClr val="ECA2E7">
                <a:tint val="23500"/>
                <a:satMod val="160000"/>
              </a:srgbClr>
            </a:gs>
          </a:gsLst>
          <a:path path="circle">
            <a:fillToRect r="100000" b="100000"/>
          </a:path>
          <a:tileRect l="-100000" t="-100000"/>
        </a:gra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D69383E-E56C-43E1-BBC3-CA3E1854B26C}" type="TxLink">
            <a:rPr lang="en-US" sz="1600" b="1" i="1" u="sng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5</a:t>
          </a:fld>
          <a:endParaRPr lang="it-IT" sz="1600" b="1" i="1" u="sng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852242</xdr:colOff>
      <xdr:row>35</xdr:row>
      <xdr:rowOff>132011</xdr:rowOff>
    </xdr:from>
    <xdr:to>
      <xdr:col>6</xdr:col>
      <xdr:colOff>1248242</xdr:colOff>
      <xdr:row>36</xdr:row>
      <xdr:rowOff>70618</xdr:rowOff>
    </xdr:to>
    <xdr:sp macro="" textlink="'DATI&amp;CALCOLI'!C35">
      <xdr:nvSpPr>
        <xdr:cNvPr id="92" name="Rettangolo 91"/>
        <xdr:cNvSpPr/>
      </xdr:nvSpPr>
      <xdr:spPr>
        <a:xfrm>
          <a:off x="9138992" y="10628561"/>
          <a:ext cx="396000" cy="300557"/>
        </a:xfrm>
        <a:prstGeom prst="rect">
          <a:avLst/>
        </a:prstGeom>
        <a:gradFill flip="none" rotWithShape="1">
          <a:gsLst>
            <a:gs pos="0">
              <a:srgbClr val="ECA2E7">
                <a:tint val="66000"/>
                <a:satMod val="160000"/>
              </a:srgbClr>
            </a:gs>
            <a:gs pos="50000">
              <a:srgbClr val="ECA2E7">
                <a:tint val="44500"/>
                <a:satMod val="160000"/>
              </a:srgbClr>
            </a:gs>
            <a:gs pos="100000">
              <a:srgbClr val="ECA2E7">
                <a:tint val="23500"/>
                <a:satMod val="160000"/>
              </a:srgbClr>
            </a:gs>
          </a:gsLst>
          <a:path path="circle">
            <a:fillToRect r="100000" b="100000"/>
          </a:path>
          <a:tileRect l="-100000" t="-100000"/>
        </a:gra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AFC63E0-A8C7-497D-B4A9-30D4B0B89197}" type="TxLink">
            <a:rPr lang="en-US" sz="1600" b="1" i="1" u="sng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5</a:t>
          </a:fld>
          <a:endParaRPr lang="it-IT" sz="1600" b="1" i="1" u="sng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906670</xdr:colOff>
      <xdr:row>43</xdr:row>
      <xdr:rowOff>349725</xdr:rowOff>
    </xdr:from>
    <xdr:to>
      <xdr:col>4</xdr:col>
      <xdr:colOff>1302670</xdr:colOff>
      <xdr:row>44</xdr:row>
      <xdr:rowOff>288332</xdr:rowOff>
    </xdr:to>
    <xdr:sp macro="" textlink="'DATI&amp;CALCOLI'!C41">
      <xdr:nvSpPr>
        <xdr:cNvPr id="93" name="Rettangolo 92"/>
        <xdr:cNvSpPr/>
      </xdr:nvSpPr>
      <xdr:spPr>
        <a:xfrm>
          <a:off x="6431170" y="13741875"/>
          <a:ext cx="396000" cy="300557"/>
        </a:xfrm>
        <a:prstGeom prst="rect">
          <a:avLst/>
        </a:prstGeom>
        <a:gradFill flip="none" rotWithShape="1">
          <a:gsLst>
            <a:gs pos="0">
              <a:srgbClr val="ECA2E7">
                <a:tint val="66000"/>
                <a:satMod val="160000"/>
              </a:srgbClr>
            </a:gs>
            <a:gs pos="50000">
              <a:srgbClr val="ECA2E7">
                <a:tint val="44500"/>
                <a:satMod val="160000"/>
              </a:srgbClr>
            </a:gs>
            <a:gs pos="100000">
              <a:srgbClr val="ECA2E7">
                <a:tint val="23500"/>
                <a:satMod val="160000"/>
              </a:srgbClr>
            </a:gs>
          </a:gsLst>
          <a:path path="circle">
            <a:fillToRect r="100000" b="100000"/>
          </a:path>
          <a:tileRect l="-100000" t="-100000"/>
        </a:gra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ED1E31B-99CF-4016-8813-B1859B00B567}" type="TxLink">
            <a:rPr lang="en-US" sz="1600" b="1" i="1" u="sng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11</a:t>
          </a:fld>
          <a:endParaRPr lang="it-IT" sz="1600" b="1" i="1" u="sng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384265</xdr:colOff>
      <xdr:row>106</xdr:row>
      <xdr:rowOff>30672</xdr:rowOff>
    </xdr:from>
    <xdr:to>
      <xdr:col>3</xdr:col>
      <xdr:colOff>388174</xdr:colOff>
      <xdr:row>112</xdr:row>
      <xdr:rowOff>70264</xdr:rowOff>
    </xdr:to>
    <xdr:sp macro="" textlink="'DATI&amp;CALCOLI'!B65">
      <xdr:nvSpPr>
        <xdr:cNvPr id="94" name="Ovale 93"/>
        <xdr:cNvSpPr/>
      </xdr:nvSpPr>
      <xdr:spPr>
        <a:xfrm>
          <a:off x="3146515" y="19080672"/>
          <a:ext cx="1385034" cy="1182592"/>
        </a:xfrm>
        <a:prstGeom prst="ellipse">
          <a:avLst/>
        </a:prstGeom>
        <a:solidFill>
          <a:srgbClr val="D08B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79F2EFB7-F10C-4CAB-9E45-5DF184953384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8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135759</xdr:colOff>
      <xdr:row>112</xdr:row>
      <xdr:rowOff>159865</xdr:rowOff>
    </xdr:from>
    <xdr:to>
      <xdr:col>3</xdr:col>
      <xdr:colOff>633428</xdr:colOff>
      <xdr:row>117</xdr:row>
      <xdr:rowOff>29788</xdr:rowOff>
    </xdr:to>
    <xdr:sp macro="" textlink="">
      <xdr:nvSpPr>
        <xdr:cNvPr id="95" name="Rettangolo 94"/>
        <xdr:cNvSpPr/>
      </xdr:nvSpPr>
      <xdr:spPr>
        <a:xfrm>
          <a:off x="2898009" y="20352865"/>
          <a:ext cx="1878794" cy="82242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600" b="1"/>
            <a:t>SUPER SEQUENZA</a:t>
          </a:r>
        </a:p>
        <a:p>
          <a:pPr algn="ctr"/>
          <a:r>
            <a:rPr lang="it-IT" sz="1600" b="1"/>
            <a:t>MAPPA</a:t>
          </a:r>
        </a:p>
      </xdr:txBody>
    </xdr:sp>
    <xdr:clientData/>
  </xdr:twoCellAnchor>
  <xdr:twoCellAnchor>
    <xdr:from>
      <xdr:col>3</xdr:col>
      <xdr:colOff>414726</xdr:colOff>
      <xdr:row>107</xdr:row>
      <xdr:rowOff>150289</xdr:rowOff>
    </xdr:from>
    <xdr:to>
      <xdr:col>3</xdr:col>
      <xdr:colOff>1176007</xdr:colOff>
      <xdr:row>110</xdr:row>
      <xdr:rowOff>185698</xdr:rowOff>
    </xdr:to>
    <xdr:sp macro="" textlink="'DATI&amp;CALCOLI'!C67">
      <xdr:nvSpPr>
        <xdr:cNvPr id="96" name="Ovale 95"/>
        <xdr:cNvSpPr/>
      </xdr:nvSpPr>
      <xdr:spPr>
        <a:xfrm>
          <a:off x="4558101" y="19390789"/>
          <a:ext cx="761281" cy="606909"/>
        </a:xfrm>
        <a:prstGeom prst="ellipse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5BC5AE73-72C0-4FB8-8A82-2394B3C16D5F}" type="TxLink"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15</a:t>
          </a:fld>
          <a:endParaRPr lang="it-IT" sz="2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766071</xdr:colOff>
      <xdr:row>106</xdr:row>
      <xdr:rowOff>25106</xdr:rowOff>
    </xdr:from>
    <xdr:to>
      <xdr:col>6</xdr:col>
      <xdr:colOff>769979</xdr:colOff>
      <xdr:row>112</xdr:row>
      <xdr:rowOff>64698</xdr:rowOff>
    </xdr:to>
    <xdr:sp macro="" textlink="'DATI&amp;CALCOLI'!B54">
      <xdr:nvSpPr>
        <xdr:cNvPr id="97" name="Ovale 96"/>
        <xdr:cNvSpPr/>
      </xdr:nvSpPr>
      <xdr:spPr>
        <a:xfrm>
          <a:off x="7671696" y="19075106"/>
          <a:ext cx="1385033" cy="1182592"/>
        </a:xfrm>
        <a:prstGeom prst="ellipse">
          <a:avLst/>
        </a:prstGeom>
        <a:solidFill>
          <a:srgbClr val="AFD6DB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6EE42BBF-7886-4F6A-B8DE-C4FB995E4353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18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725200</xdr:colOff>
      <xdr:row>112</xdr:row>
      <xdr:rowOff>167906</xdr:rowOff>
    </xdr:from>
    <xdr:to>
      <xdr:col>7</xdr:col>
      <xdr:colOff>794472</xdr:colOff>
      <xdr:row>117</xdr:row>
      <xdr:rowOff>121538</xdr:rowOff>
    </xdr:to>
    <xdr:sp macro="" textlink="">
      <xdr:nvSpPr>
        <xdr:cNvPr id="98" name="Rettangolo 97"/>
        <xdr:cNvSpPr/>
      </xdr:nvSpPr>
      <xdr:spPr>
        <a:xfrm>
          <a:off x="7630825" y="20360906"/>
          <a:ext cx="2831522" cy="90613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600" b="1"/>
            <a:t>PERSONALITA' PROFONDA</a:t>
          </a:r>
          <a:endParaRPr lang="it-IT" sz="1600" b="1" baseline="0"/>
        </a:p>
        <a:p>
          <a:pPr algn="ctr"/>
          <a:r>
            <a:rPr lang="it-IT" sz="1600" b="1" baseline="0"/>
            <a:t>DELL'ANNO SCELTO</a:t>
          </a:r>
          <a:endParaRPr lang="it-IT" sz="1600" b="1"/>
        </a:p>
      </xdr:txBody>
    </xdr:sp>
    <xdr:clientData/>
  </xdr:twoCellAnchor>
  <xdr:twoCellAnchor>
    <xdr:from>
      <xdr:col>1</xdr:col>
      <xdr:colOff>403330</xdr:colOff>
      <xdr:row>108</xdr:row>
      <xdr:rowOff>81643</xdr:rowOff>
    </xdr:from>
    <xdr:to>
      <xdr:col>1</xdr:col>
      <xdr:colOff>905904</xdr:colOff>
      <xdr:row>110</xdr:row>
      <xdr:rowOff>54428</xdr:rowOff>
    </xdr:to>
    <xdr:sp macro="" textlink="'DATI&amp;CALCOLI'!C68">
      <xdr:nvSpPr>
        <xdr:cNvPr id="99" name="Rettangolo 98"/>
        <xdr:cNvSpPr/>
      </xdr:nvSpPr>
      <xdr:spPr>
        <a:xfrm>
          <a:off x="1784455" y="19512643"/>
          <a:ext cx="502574" cy="353785"/>
        </a:xfrm>
        <a:prstGeom prst="rect">
          <a:avLst/>
        </a:prstGeom>
        <a:gradFill flip="none" rotWithShape="1">
          <a:gsLst>
            <a:gs pos="0">
              <a:srgbClr val="ECA2E7">
                <a:tint val="66000"/>
                <a:satMod val="160000"/>
              </a:srgbClr>
            </a:gs>
            <a:gs pos="50000">
              <a:srgbClr val="ECA2E7">
                <a:tint val="44500"/>
                <a:satMod val="160000"/>
              </a:srgbClr>
            </a:gs>
            <a:gs pos="100000">
              <a:srgbClr val="ECA2E7">
                <a:tint val="23500"/>
                <a:satMod val="160000"/>
              </a:srgbClr>
            </a:gs>
          </a:gsLst>
          <a:path path="circle">
            <a:fillToRect r="100000" b="100000"/>
          </a:path>
          <a:tileRect l="-100000" t="-100000"/>
        </a:gra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EA086A7-F455-4434-B7F0-9BA6CEAF62B7}" type="TxLink">
            <a:rPr lang="en-US" sz="1600" b="1" i="1" u="sng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5</a:t>
          </a:fld>
          <a:endParaRPr lang="it-IT" sz="1600" b="1" i="1" u="sng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885087</xdr:colOff>
      <xdr:row>106</xdr:row>
      <xdr:rowOff>73295</xdr:rowOff>
    </xdr:from>
    <xdr:to>
      <xdr:col>7</xdr:col>
      <xdr:colOff>785816</xdr:colOff>
      <xdr:row>112</xdr:row>
      <xdr:rowOff>65872</xdr:rowOff>
    </xdr:to>
    <xdr:sp macro="" textlink="'DATI&amp;CALCOLI'!E54">
      <xdr:nvSpPr>
        <xdr:cNvPr id="100" name="Rettangolo 99"/>
        <xdr:cNvSpPr/>
      </xdr:nvSpPr>
      <xdr:spPr>
        <a:xfrm>
          <a:off x="9171837" y="19123295"/>
          <a:ext cx="1281854" cy="1135577"/>
        </a:xfrm>
        <a:prstGeom prst="rect">
          <a:avLst/>
        </a:prstGeom>
        <a:solidFill>
          <a:srgbClr val="FFFFB9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C12CD5DC-5102-4AB3-974B-F2A19AE20B96}" type="TxLink">
            <a:rPr lang="en-US" sz="2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ANNO: 2023</a:t>
          </a:fld>
          <a:endParaRPr lang="it-IT" sz="1028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1096136</xdr:colOff>
      <xdr:row>52</xdr:row>
      <xdr:rowOff>29742</xdr:rowOff>
    </xdr:from>
    <xdr:to>
      <xdr:col>7</xdr:col>
      <xdr:colOff>1100045</xdr:colOff>
      <xdr:row>98</xdr:row>
      <xdr:rowOff>97476</xdr:rowOff>
    </xdr:to>
    <xdr:sp macro="" textlink="'DATI&amp;CALCOLI'!D48">
      <xdr:nvSpPr>
        <xdr:cNvPr id="101" name="Ovale 100"/>
        <xdr:cNvSpPr/>
      </xdr:nvSpPr>
      <xdr:spPr>
        <a:xfrm>
          <a:off x="9478136" y="16095242"/>
          <a:ext cx="1400909" cy="1147234"/>
        </a:xfrm>
        <a:prstGeom prst="ellipse">
          <a:avLst/>
        </a:prstGeom>
        <a:solidFill>
          <a:srgbClr val="FFB13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3A9BB2CF-5784-44DE-9D36-F7627B107186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5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864014</xdr:colOff>
      <xdr:row>98</xdr:row>
      <xdr:rowOff>187077</xdr:rowOff>
    </xdr:from>
    <xdr:to>
      <xdr:col>7</xdr:col>
      <xdr:colOff>1351275</xdr:colOff>
      <xdr:row>103</xdr:row>
      <xdr:rowOff>57000</xdr:rowOff>
    </xdr:to>
    <xdr:sp macro="" textlink="">
      <xdr:nvSpPr>
        <xdr:cNvPr id="102" name="Rettangolo 101"/>
        <xdr:cNvSpPr/>
      </xdr:nvSpPr>
      <xdr:spPr>
        <a:xfrm>
          <a:off x="9246014" y="17332077"/>
          <a:ext cx="1884261" cy="82242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600" b="1"/>
            <a:t>PERSONAGGIO</a:t>
          </a:r>
        </a:p>
      </xdr:txBody>
    </xdr:sp>
    <xdr:clientData/>
  </xdr:twoCellAnchor>
  <xdr:twoCellAnchor>
    <xdr:from>
      <xdr:col>9</xdr:col>
      <xdr:colOff>68726</xdr:colOff>
      <xdr:row>52</xdr:row>
      <xdr:rowOff>29742</xdr:rowOff>
    </xdr:from>
    <xdr:to>
      <xdr:col>10</xdr:col>
      <xdr:colOff>72634</xdr:colOff>
      <xdr:row>98</xdr:row>
      <xdr:rowOff>97476</xdr:rowOff>
    </xdr:to>
    <xdr:sp macro="" textlink="'DATI&amp;CALCOLI'!C71">
      <xdr:nvSpPr>
        <xdr:cNvPr id="103" name="Ovale 102"/>
        <xdr:cNvSpPr/>
      </xdr:nvSpPr>
      <xdr:spPr>
        <a:xfrm>
          <a:off x="12498851" y="16679442"/>
          <a:ext cx="1385033" cy="1172634"/>
        </a:xfrm>
        <a:prstGeom prst="ellipse">
          <a:avLst/>
        </a:prstGeom>
        <a:solidFill>
          <a:srgbClr val="BCBCBC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3D-4D2F-84CA-EF5C4BA150CF}" type="TxLink">
            <a:rPr lang="en-US" sz="54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11</a:t>
          </a:fld>
          <a:endParaRPr lang="it-IT" sz="54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1215007</xdr:colOff>
      <xdr:row>98</xdr:row>
      <xdr:rowOff>187077</xdr:rowOff>
    </xdr:from>
    <xdr:to>
      <xdr:col>10</xdr:col>
      <xdr:colOff>323864</xdr:colOff>
      <xdr:row>103</xdr:row>
      <xdr:rowOff>57000</xdr:rowOff>
    </xdr:to>
    <xdr:sp macro="" textlink="">
      <xdr:nvSpPr>
        <xdr:cNvPr id="104" name="Rettangolo 103"/>
        <xdr:cNvSpPr/>
      </xdr:nvSpPr>
      <xdr:spPr>
        <a:xfrm>
          <a:off x="12264007" y="17941677"/>
          <a:ext cx="1871107" cy="82242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600" b="1"/>
            <a:t>DESTINO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2</xdr:row>
          <xdr:rowOff>152400</xdr:rowOff>
        </xdr:from>
        <xdr:to>
          <xdr:col>5</xdr:col>
          <xdr:colOff>1219200</xdr:colOff>
          <xdr:row>4</xdr:row>
          <xdr:rowOff>123825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627530</xdr:colOff>
      <xdr:row>33</xdr:row>
      <xdr:rowOff>344647</xdr:rowOff>
    </xdr:from>
    <xdr:to>
      <xdr:col>11</xdr:col>
      <xdr:colOff>1279872</xdr:colOff>
      <xdr:row>35</xdr:row>
      <xdr:rowOff>171820</xdr:rowOff>
    </xdr:to>
    <xdr:sp macro="" textlink="'DATI&amp;CALCOLI'!E14">
      <xdr:nvSpPr>
        <xdr:cNvPr id="109" name="Ovale 108"/>
        <xdr:cNvSpPr/>
      </xdr:nvSpPr>
      <xdr:spPr>
        <a:xfrm>
          <a:off x="15819905" y="9988710"/>
          <a:ext cx="652342" cy="541548"/>
        </a:xfrm>
        <a:prstGeom prst="ellipse">
          <a:avLst/>
        </a:prstGeom>
        <a:solidFill>
          <a:srgbClr val="D319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66B0A63C-1CA5-4AC9-9381-4EE80A46B1E1}" type="TxLink">
            <a:rPr lang="en-US" sz="20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</a:t>
          </a:fld>
          <a:endParaRPr lang="it-IT" sz="20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623403</xdr:colOff>
      <xdr:row>35</xdr:row>
      <xdr:rowOff>245232</xdr:rowOff>
    </xdr:from>
    <xdr:to>
      <xdr:col>11</xdr:col>
      <xdr:colOff>1290136</xdr:colOff>
      <xdr:row>37</xdr:row>
      <xdr:rowOff>55541</xdr:rowOff>
    </xdr:to>
    <xdr:sp macro="" textlink="'DATI&amp;CALCOLI'!E15">
      <xdr:nvSpPr>
        <xdr:cNvPr id="110" name="Ovale 109"/>
        <xdr:cNvSpPr/>
      </xdr:nvSpPr>
      <xdr:spPr>
        <a:xfrm>
          <a:off x="15815778" y="10603670"/>
          <a:ext cx="666733" cy="524684"/>
        </a:xfrm>
        <a:prstGeom prst="ellipse">
          <a:avLst/>
        </a:prstGeom>
        <a:solidFill>
          <a:srgbClr val="F2BD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789EE4FB-42CD-4FB3-B36B-3BC07A86CAFC}" type="TxLink">
            <a:rPr lang="en-US" sz="20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</a:t>
          </a:fld>
          <a:endParaRPr lang="it-IT" sz="20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530679</xdr:colOff>
      <xdr:row>33</xdr:row>
      <xdr:rowOff>309541</xdr:rowOff>
    </xdr:from>
    <xdr:to>
      <xdr:col>11</xdr:col>
      <xdr:colOff>544286</xdr:colOff>
      <xdr:row>35</xdr:row>
      <xdr:rowOff>238123</xdr:rowOff>
    </xdr:to>
    <xdr:sp macro="" textlink="'DATI&amp;CALCOLI'!G14">
      <xdr:nvSpPr>
        <xdr:cNvPr id="112" name="Rettangolo 111"/>
        <xdr:cNvSpPr/>
      </xdr:nvSpPr>
      <xdr:spPr>
        <a:xfrm>
          <a:off x="14341929" y="9953604"/>
          <a:ext cx="1394732" cy="64295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8B0F4F4-76B4-4B81-ABD8-C072B6FA42BB}" type="TxLink">
            <a:rPr lang="en-US" sz="1600" b="1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VERTICALE ANNO 2010</a:t>
          </a:fld>
          <a:endParaRPr lang="it-IT" sz="16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544285</xdr:colOff>
      <xdr:row>35</xdr:row>
      <xdr:rowOff>336757</xdr:rowOff>
    </xdr:from>
    <xdr:to>
      <xdr:col>11</xdr:col>
      <xdr:colOff>544287</xdr:colOff>
      <xdr:row>37</xdr:row>
      <xdr:rowOff>1</xdr:rowOff>
    </xdr:to>
    <xdr:sp macro="" textlink="">
      <xdr:nvSpPr>
        <xdr:cNvPr id="113" name="Rettangolo 112"/>
        <xdr:cNvSpPr/>
      </xdr:nvSpPr>
      <xdr:spPr>
        <a:xfrm>
          <a:off x="14355535" y="10695195"/>
          <a:ext cx="1381127" cy="37761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600" b="1"/>
            <a:t>ORIZZONTALE</a:t>
          </a:r>
        </a:p>
      </xdr:txBody>
    </xdr:sp>
    <xdr:clientData/>
  </xdr:twoCellAnchor>
  <xdr:twoCellAnchor>
    <xdr:from>
      <xdr:col>10</xdr:col>
      <xdr:colOff>1197428</xdr:colOff>
      <xdr:row>30</xdr:row>
      <xdr:rowOff>244930</xdr:rowOff>
    </xdr:from>
    <xdr:to>
      <xdr:col>11</xdr:col>
      <xdr:colOff>489857</xdr:colOff>
      <xdr:row>33</xdr:row>
      <xdr:rowOff>136072</xdr:rowOff>
    </xdr:to>
    <xdr:sp macro="" textlink="">
      <xdr:nvSpPr>
        <xdr:cNvPr id="4100" name="Freccia in giù 4099"/>
        <xdr:cNvSpPr/>
      </xdr:nvSpPr>
      <xdr:spPr>
        <a:xfrm>
          <a:off x="15008678" y="8817430"/>
          <a:ext cx="673554" cy="962705"/>
        </a:xfrm>
        <a:prstGeom prst="downArrow">
          <a:avLst/>
        </a:prstGeom>
        <a:gradFill flip="none" rotWithShape="1">
          <a:gsLst>
            <a:gs pos="0">
              <a:srgbClr val="E575FF">
                <a:tint val="66000"/>
                <a:satMod val="160000"/>
              </a:srgbClr>
            </a:gs>
            <a:gs pos="50000">
              <a:srgbClr val="E575FF">
                <a:tint val="44500"/>
                <a:satMod val="160000"/>
              </a:srgbClr>
            </a:gs>
            <a:gs pos="100000">
              <a:srgbClr val="E575FF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it-IT"/>
        </a:p>
      </xdr:txBody>
    </xdr:sp>
    <xdr:clientData/>
  </xdr:twoCellAnchor>
  <xdr:twoCellAnchor>
    <xdr:from>
      <xdr:col>10</xdr:col>
      <xdr:colOff>175093</xdr:colOff>
      <xdr:row>108</xdr:row>
      <xdr:rowOff>177960</xdr:rowOff>
    </xdr:from>
    <xdr:to>
      <xdr:col>10</xdr:col>
      <xdr:colOff>827435</xdr:colOff>
      <xdr:row>111</xdr:row>
      <xdr:rowOff>148008</xdr:rowOff>
    </xdr:to>
    <xdr:sp macro="" textlink="'DATI&amp;CALCOLI'!E51">
      <xdr:nvSpPr>
        <xdr:cNvPr id="115" name="Ovale 114"/>
        <xdr:cNvSpPr/>
      </xdr:nvSpPr>
      <xdr:spPr>
        <a:xfrm>
          <a:off x="13986343" y="19608960"/>
          <a:ext cx="652342" cy="541548"/>
        </a:xfrm>
        <a:prstGeom prst="ellipse">
          <a:avLst/>
        </a:prstGeom>
        <a:solidFill>
          <a:srgbClr val="53A6B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51CC1449-97BD-4487-83B8-7C672E0BAAE2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9</a:t>
          </a:fld>
          <a:endParaRPr lang="it-IT" sz="18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170966</xdr:colOff>
      <xdr:row>112</xdr:row>
      <xdr:rowOff>64537</xdr:rowOff>
    </xdr:from>
    <xdr:to>
      <xdr:col>10</xdr:col>
      <xdr:colOff>837699</xdr:colOff>
      <xdr:row>115</xdr:row>
      <xdr:rowOff>17721</xdr:rowOff>
    </xdr:to>
    <xdr:sp macro="" textlink="'DATI&amp;CALCOLI'!E52">
      <xdr:nvSpPr>
        <xdr:cNvPr id="116" name="Ovale 115"/>
        <xdr:cNvSpPr/>
      </xdr:nvSpPr>
      <xdr:spPr>
        <a:xfrm>
          <a:off x="13982216" y="20257537"/>
          <a:ext cx="666733" cy="524684"/>
        </a:xfrm>
        <a:prstGeom prst="ellipse">
          <a:avLst/>
        </a:prstGeom>
        <a:solidFill>
          <a:srgbClr val="CFE6E9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F5916086-29C2-4F0E-92BD-8451C64FF2AA}" type="TxLink">
            <a:rPr lang="en-US" sz="18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18</a:t>
          </a:fld>
          <a:endParaRPr lang="it-IT" sz="18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100654</xdr:colOff>
      <xdr:row>109</xdr:row>
      <xdr:rowOff>75618</xdr:rowOff>
    </xdr:from>
    <xdr:to>
      <xdr:col>10</xdr:col>
      <xdr:colOff>105056</xdr:colOff>
      <xdr:row>111</xdr:row>
      <xdr:rowOff>56029</xdr:rowOff>
    </xdr:to>
    <xdr:sp macro="" textlink="">
      <xdr:nvSpPr>
        <xdr:cNvPr id="117" name="Rettangolo 116"/>
        <xdr:cNvSpPr/>
      </xdr:nvSpPr>
      <xdr:spPr>
        <a:xfrm>
          <a:off x="12530779" y="19697118"/>
          <a:ext cx="1385527" cy="36141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VERTICALE</a:t>
          </a:r>
        </a:p>
      </xdr:txBody>
    </xdr:sp>
    <xdr:clientData/>
  </xdr:twoCellAnchor>
  <xdr:twoCellAnchor>
    <xdr:from>
      <xdr:col>9</xdr:col>
      <xdr:colOff>91848</xdr:colOff>
      <xdr:row>112</xdr:row>
      <xdr:rowOff>122445</xdr:rowOff>
    </xdr:from>
    <xdr:to>
      <xdr:col>10</xdr:col>
      <xdr:colOff>91850</xdr:colOff>
      <xdr:row>114</xdr:row>
      <xdr:rowOff>119064</xdr:rowOff>
    </xdr:to>
    <xdr:sp macro="" textlink="">
      <xdr:nvSpPr>
        <xdr:cNvPr id="118" name="Rettangolo 117"/>
        <xdr:cNvSpPr/>
      </xdr:nvSpPr>
      <xdr:spPr>
        <a:xfrm>
          <a:off x="12521973" y="20315445"/>
          <a:ext cx="1381127" cy="37761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600" b="1"/>
            <a:t>ORIZZONTALE</a:t>
          </a:r>
        </a:p>
      </xdr:txBody>
    </xdr:sp>
    <xdr:clientData/>
  </xdr:twoCellAnchor>
  <xdr:twoCellAnchor>
    <xdr:from>
      <xdr:col>7</xdr:col>
      <xdr:colOff>1325618</xdr:colOff>
      <xdr:row>109</xdr:row>
      <xdr:rowOff>155864</xdr:rowOff>
    </xdr:from>
    <xdr:to>
      <xdr:col>8</xdr:col>
      <xdr:colOff>1054250</xdr:colOff>
      <xdr:row>113</xdr:row>
      <xdr:rowOff>184162</xdr:rowOff>
    </xdr:to>
    <xdr:sp macro="" textlink="">
      <xdr:nvSpPr>
        <xdr:cNvPr id="119" name="Freccia in giù 118"/>
        <xdr:cNvSpPr/>
      </xdr:nvSpPr>
      <xdr:spPr>
        <a:xfrm rot="16200000">
          <a:off x="11153223" y="19617634"/>
          <a:ext cx="790298" cy="1109757"/>
        </a:xfrm>
        <a:prstGeom prst="downArrow">
          <a:avLst/>
        </a:prstGeom>
        <a:gradFill flip="none" rotWithShape="1">
          <a:gsLst>
            <a:gs pos="0">
              <a:srgbClr val="78B9C2">
                <a:tint val="66000"/>
                <a:satMod val="160000"/>
              </a:srgbClr>
            </a:gs>
            <a:gs pos="50000">
              <a:srgbClr val="78B9C2">
                <a:tint val="44500"/>
                <a:satMod val="160000"/>
              </a:srgbClr>
            </a:gs>
            <a:gs pos="100000">
              <a:srgbClr val="78B9C2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it-IT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oglio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oglio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glio1"/>
      <sheetName val="Foglio2"/>
    </sheetNames>
    <sheetDataSet>
      <sheetData sheetId="0">
        <row r="1">
          <cell r="A1" t="str">
            <v>MAPPA DEI TALENTI DI ZULIAN EUGENIO (bisnonno)</v>
          </cell>
        </row>
        <row r="2">
          <cell r="A2">
            <v>0</v>
          </cell>
        </row>
        <row r="3">
          <cell r="A3" t="str">
            <v>Data di nascita:  28/1/1981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glio1"/>
      <sheetName val="Foglio2"/>
    </sheetNames>
    <sheetDataSet>
      <sheetData sheetId="0"/>
      <sheetData sheetId="1">
        <row r="1">
          <cell r="A1" t="str">
            <v>ZULIAN</v>
          </cell>
        </row>
        <row r="2">
          <cell r="A2" t="str">
            <v>EUGENIO (bisnonno)</v>
          </cell>
        </row>
      </sheetData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>
    <pageSetUpPr fitToPage="1"/>
  </sheetPr>
  <dimension ref="A1:AE143"/>
  <sheetViews>
    <sheetView tabSelected="1" view="pageBreakPreview" zoomScale="55" zoomScaleNormal="55" zoomScaleSheetLayoutView="55" zoomScalePageLayoutView="30" workbookViewId="0">
      <selection activeCell="D1" sqref="D1:F1"/>
    </sheetView>
  </sheetViews>
  <sheetFormatPr defaultRowHeight="15" x14ac:dyDescent="0.25"/>
  <cols>
    <col min="1" max="12" width="20.7109375" style="1" customWidth="1"/>
    <col min="13" max="13" width="7.85546875" style="1" customWidth="1"/>
    <col min="14" max="14" width="48.42578125" style="1" customWidth="1"/>
    <col min="15" max="15" width="70.85546875" style="1" customWidth="1"/>
    <col min="16" max="29" width="40.7109375" style="1" customWidth="1"/>
    <col min="30" max="30" width="30.5703125" style="1" customWidth="1"/>
    <col min="31" max="31" width="29.140625" style="1" customWidth="1"/>
    <col min="32" max="32" width="15.28515625" style="1" customWidth="1"/>
    <col min="33" max="16384" width="9.140625" style="1"/>
  </cols>
  <sheetData>
    <row r="1" spans="1:31" ht="31.5" customHeight="1" x14ac:dyDescent="0.25">
      <c r="A1" s="46" t="s">
        <v>3</v>
      </c>
      <c r="B1" s="46"/>
      <c r="C1" s="46"/>
      <c r="D1" s="48" t="s">
        <v>56</v>
      </c>
      <c r="E1" s="48"/>
      <c r="F1" s="48"/>
    </row>
    <row r="2" spans="1:31" ht="28.5" x14ac:dyDescent="0.45">
      <c r="A2" s="47" t="s">
        <v>0</v>
      </c>
      <c r="B2" s="47"/>
      <c r="C2" s="47"/>
      <c r="D2" s="30">
        <v>28</v>
      </c>
    </row>
    <row r="3" spans="1:31" ht="28.5" x14ac:dyDescent="0.45">
      <c r="A3" s="47" t="s">
        <v>1</v>
      </c>
      <c r="B3" s="47"/>
      <c r="C3" s="47"/>
      <c r="D3" s="4">
        <v>1</v>
      </c>
    </row>
    <row r="4" spans="1:31" ht="28.5" x14ac:dyDescent="0.45">
      <c r="A4" s="47" t="s">
        <v>2</v>
      </c>
      <c r="B4" s="47"/>
      <c r="C4" s="47"/>
      <c r="D4" s="4">
        <v>1981</v>
      </c>
    </row>
    <row r="5" spans="1:31" ht="28.5" x14ac:dyDescent="0.45">
      <c r="A5" s="46" t="s">
        <v>55</v>
      </c>
      <c r="B5" s="46"/>
      <c r="C5" s="46"/>
      <c r="D5" s="4">
        <v>2023</v>
      </c>
      <c r="N5" s="31"/>
    </row>
    <row r="6" spans="1:31" ht="8.25" customHeight="1" thickBot="1" x14ac:dyDescent="0.3">
      <c r="N6" s="31"/>
    </row>
    <row r="7" spans="1:31" ht="28.5" customHeight="1" x14ac:dyDescent="0.25">
      <c r="A7" s="32" t="str">
        <f>"MAPPA DEI TALENTI DI "&amp;D1</f>
        <v>MAPPA DEI TALENTI DI ROBERTO</v>
      </c>
      <c r="B7" s="33"/>
      <c r="C7" s="33"/>
      <c r="D7" s="33"/>
      <c r="E7" s="33"/>
      <c r="F7" s="33"/>
      <c r="G7" s="33"/>
      <c r="H7" s="33"/>
      <c r="I7" s="33"/>
      <c r="J7" s="33"/>
      <c r="K7" s="33"/>
      <c r="L7" s="34"/>
      <c r="N7" s="28"/>
    </row>
    <row r="8" spans="1:31" ht="28.5" customHeight="1" x14ac:dyDescent="0.45">
      <c r="A8" s="35"/>
      <c r="B8" s="36"/>
      <c r="C8" s="36"/>
      <c r="D8" s="36"/>
      <c r="E8" s="36"/>
      <c r="F8" s="36"/>
      <c r="G8" s="36"/>
      <c r="H8" s="36"/>
      <c r="I8" s="36"/>
      <c r="J8" s="36"/>
      <c r="K8" s="36"/>
      <c r="L8" s="37"/>
      <c r="N8" s="29"/>
    </row>
    <row r="9" spans="1:31" ht="28.5" customHeight="1" x14ac:dyDescent="0.45">
      <c r="A9" s="38" t="str">
        <f>"Data di nascita:  "&amp;D2&amp;"/"&amp;D3&amp;"/"&amp;D4</f>
        <v>Data di nascita:  28/1/1981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40"/>
      <c r="M9" s="2"/>
      <c r="N9" s="29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</row>
    <row r="10" spans="1:31" ht="28.5" customHeight="1" thickBot="1" x14ac:dyDescent="0.5">
      <c r="A10" s="41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3"/>
      <c r="M10" s="2"/>
      <c r="N10" s="29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1:31" ht="28.5" customHeight="1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2"/>
      <c r="N11" s="28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</row>
    <row r="12" spans="1:31" ht="28.5" customHeight="1" x14ac:dyDescent="0.4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2"/>
      <c r="N12" s="31"/>
      <c r="O12" s="26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</row>
    <row r="13" spans="1:31" ht="28.5" customHeight="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</row>
    <row r="14" spans="1:31" ht="28.5" customHeight="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31" ht="28.5" customHeight="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</row>
    <row r="16" spans="1:31" ht="28.5" customHeight="1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</row>
    <row r="17" spans="1:12" ht="28.5" customHeight="1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 ht="28.5" customHeight="1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ht="28.5" customHeight="1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 ht="28.5" customHeight="1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ht="28.5" customHeight="1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 ht="28.5" customHeight="1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 ht="28.5" customHeight="1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 ht="28.5" customHeight="1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 ht="28.5" customHeight="1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  <row r="26" spans="1:12" ht="28.5" customHeight="1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</row>
    <row r="27" spans="1:12" ht="28.5" customHeight="1" x14ac:dyDescent="0.25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1:12" ht="28.5" customHeight="1" x14ac:dyDescent="0.25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</row>
    <row r="29" spans="1:12" ht="28.5" customHeight="1" x14ac:dyDescent="0.25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</row>
    <row r="30" spans="1:12" ht="28.5" customHeight="1" x14ac:dyDescent="0.25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1:12" ht="28.5" customHeight="1" x14ac:dyDescent="0.25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1:12" ht="28.5" customHeight="1" x14ac:dyDescent="0.25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</row>
    <row r="33" spans="1:12" ht="28.5" customHeight="1" x14ac:dyDescent="0.25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</row>
    <row r="34" spans="1:12" ht="28.5" customHeight="1" x14ac:dyDescent="0.25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1:12" ht="28.5" customHeight="1" x14ac:dyDescent="0.25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</row>
    <row r="36" spans="1:12" ht="28.5" customHeight="1" x14ac:dyDescent="0.25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</row>
    <row r="37" spans="1:12" ht="28.5" customHeight="1" x14ac:dyDescent="0.25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</row>
    <row r="38" spans="1:12" ht="28.5" customHeight="1" x14ac:dyDescent="0.25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</row>
    <row r="39" spans="1:12" ht="28.5" customHeight="1" x14ac:dyDescent="0.25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</row>
    <row r="40" spans="1:12" ht="28.5" customHeight="1" x14ac:dyDescent="0.25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</row>
    <row r="41" spans="1:12" ht="28.5" customHeight="1" x14ac:dyDescent="0.25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</row>
    <row r="42" spans="1:12" ht="28.5" customHeight="1" x14ac:dyDescent="0.25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</row>
    <row r="43" spans="1:12" ht="28.5" customHeight="1" x14ac:dyDescent="0.25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</row>
    <row r="44" spans="1:12" ht="28.5" customHeight="1" x14ac:dyDescent="0.2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</row>
    <row r="45" spans="1:12" ht="28.5" customHeight="1" x14ac:dyDescent="0.2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</row>
    <row r="46" spans="1:12" ht="28.5" customHeight="1" x14ac:dyDescent="0.25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</row>
    <row r="47" spans="1:12" ht="28.5" customHeight="1" x14ac:dyDescent="0.25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</row>
    <row r="48" spans="1:12" ht="28.5" customHeight="1" x14ac:dyDescent="0.25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</row>
    <row r="49" spans="1:12" ht="28.5" customHeight="1" x14ac:dyDescent="0.25">
      <c r="A49" s="45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</row>
    <row r="50" spans="1:12" ht="28.5" customHeight="1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</row>
    <row r="51" spans="1:12" ht="28.5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</row>
    <row r="52" spans="1:12" ht="28.5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</row>
    <row r="53" spans="1:12" ht="28.5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</row>
    <row r="54" spans="1:12" ht="28.5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</row>
    <row r="55" spans="1:12" ht="28.5" hidden="1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</row>
    <row r="56" spans="1:12" ht="28.5" hidden="1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</row>
    <row r="57" spans="1:12" ht="28.5" hidden="1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</row>
    <row r="58" spans="1:12" ht="28.5" hidden="1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</row>
    <row r="59" spans="1:12" ht="28.5" hidden="1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</row>
    <row r="60" spans="1:12" ht="28.5" hidden="1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</row>
    <row r="61" spans="1:12" ht="28.5" hidden="1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</row>
    <row r="62" spans="1:12" ht="28.5" hidden="1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</row>
    <row r="63" spans="1:12" ht="28.5" hidden="1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</row>
    <row r="64" spans="1:12" ht="28.5" hidden="1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</row>
    <row r="65" spans="1:12" ht="15" hidden="1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</row>
    <row r="66" spans="1:12" ht="15" hidden="1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</row>
    <row r="67" spans="1:12" ht="154.5" hidden="1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</row>
    <row r="68" spans="1:12" ht="15" hidden="1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</row>
    <row r="69" spans="1:12" ht="67.5" hidden="1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</row>
    <row r="70" spans="1:12" ht="42" hidden="1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</row>
    <row r="71" spans="1:12" ht="31.5" hidden="1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</row>
    <row r="72" spans="1:12" ht="15" hidden="1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</row>
    <row r="73" spans="1:12" ht="42" hidden="1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</row>
    <row r="74" spans="1:12" ht="28.5" hidden="1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</row>
    <row r="75" spans="1:12" ht="28.5" hidden="1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</row>
    <row r="76" spans="1:12" ht="15" hidden="1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</row>
    <row r="77" spans="1:12" ht="15" hidden="1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</row>
    <row r="78" spans="1:12" ht="42" hidden="1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</row>
    <row r="79" spans="1:12" ht="28.5" hidden="1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</row>
    <row r="80" spans="1:12" ht="28.5" hidden="1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</row>
    <row r="81" spans="1:12" ht="15" hidden="1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</row>
    <row r="82" spans="1:12" ht="15" hidden="1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</row>
    <row r="83" spans="1:12" ht="45" hidden="1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</row>
    <row r="84" spans="1:12" ht="36" hidden="1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</row>
    <row r="85" spans="1:12" ht="39" hidden="1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</row>
    <row r="86" spans="1:12" ht="36" hidden="1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</row>
    <row r="87" spans="1:12" ht="39.75" hidden="1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</row>
    <row r="88" spans="1:12" ht="36" hidden="1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</row>
    <row r="89" spans="1:12" ht="43.5" hidden="1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</row>
    <row r="90" spans="1:12" ht="15" hidden="1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</row>
    <row r="91" spans="1:12" ht="69" hidden="1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</row>
    <row r="92" spans="1:12" ht="15" hidden="1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</row>
    <row r="93" spans="1:12" ht="42" hidden="1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</row>
    <row r="94" spans="1:12" ht="15" hidden="1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</row>
    <row r="95" spans="1:12" ht="15" hidden="1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</row>
    <row r="96" spans="1:12" ht="15" hidden="1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</row>
    <row r="97" spans="1:15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</row>
    <row r="98" spans="1:15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</row>
    <row r="99" spans="1:15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</row>
    <row r="100" spans="1:15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</row>
    <row r="101" spans="1:15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</row>
    <row r="102" spans="1:15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</row>
    <row r="103" spans="1:15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</row>
    <row r="104" spans="1:15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</row>
    <row r="105" spans="1:15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O105" s="1" t="s">
        <v>54</v>
      </c>
    </row>
    <row r="106" spans="1:15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</row>
    <row r="107" spans="1:15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</row>
    <row r="108" spans="1:15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</row>
    <row r="109" spans="1:15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</row>
    <row r="110" spans="1:15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</row>
    <row r="111" spans="1:15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</row>
    <row r="112" spans="1:15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</row>
    <row r="113" spans="1:12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</row>
    <row r="114" spans="1:12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</row>
    <row r="115" spans="1:12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</row>
    <row r="116" spans="1:12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</row>
    <row r="117" spans="1:12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</row>
    <row r="118" spans="1:12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</row>
    <row r="119" spans="1:12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</row>
    <row r="120" spans="1:12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</row>
    <row r="121" spans="1:12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</row>
    <row r="122" spans="1:12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</row>
    <row r="123" spans="1:12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</row>
    <row r="124" spans="1:12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</row>
    <row r="125" spans="1:12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</row>
    <row r="126" spans="1:12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</row>
    <row r="127" spans="1:12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</row>
    <row r="128" spans="1:12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</row>
    <row r="129" spans="1:12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</row>
    <row r="130" spans="1:12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</row>
    <row r="131" spans="1:12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</row>
    <row r="132" spans="1:12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</row>
    <row r="133" spans="1:12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</row>
    <row r="134" spans="1:12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</row>
    <row r="135" spans="1:12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</row>
    <row r="136" spans="1:12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</row>
    <row r="137" spans="1:12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</row>
    <row r="138" spans="1:12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</row>
    <row r="139" spans="1:12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</row>
    <row r="140" spans="1:12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</row>
    <row r="141" spans="1:12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</row>
    <row r="142" spans="1:12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</row>
    <row r="143" spans="1:1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</row>
  </sheetData>
  <sheetProtection algorithmName="SHA-512" hashValue="ULqNKV18+I/UejjJCYaX5GyzFvO9I+PvWasStdlvipKBa7PW8NbQRPEaAxA6rn2SDo0N/hrmdInTFcYrcu9U5Q==" saltValue="bwxk48R5kB2NXbPVHRXrCA==" spinCount="100000" sheet="1" objects="1" scenarios="1" selectLockedCells="1"/>
  <customSheetViews>
    <customSheetView guid="{6E89AB40-E0C1-4425-AF8F-3062D9F8C20A}" scale="30" showPageBreaks="1" fitToPage="1" printArea="1" hiddenRows="1" view="pageBreakPreview">
      <selection activeCell="P1" sqref="P1"/>
      <pageMargins left="0.39370078740157483" right="0.39370078740157483" top="0.98425196850393704" bottom="0.74803149606299213" header="0.31496062992125984" footer="0.31496062992125984"/>
      <printOptions horizontalCentered="1"/>
      <pageSetup paperSize="9" scale="39" fitToHeight="0" orientation="portrait" r:id="rId1"/>
    </customSheetView>
  </customSheetViews>
  <mergeCells count="9">
    <mergeCell ref="A7:L8"/>
    <mergeCell ref="A9:L10"/>
    <mergeCell ref="A11:L119"/>
    <mergeCell ref="A5:C5"/>
    <mergeCell ref="A1:C1"/>
    <mergeCell ref="A2:C2"/>
    <mergeCell ref="A3:C3"/>
    <mergeCell ref="A4:C4"/>
    <mergeCell ref="D1:F1"/>
  </mergeCells>
  <printOptions horizontalCentered="1"/>
  <pageMargins left="0.39370078740157483" right="0.39370078740157483" top="0.98425196850393704" bottom="0.74803149606299213" header="0.31496062992125984" footer="0.31496062992125984"/>
  <pageSetup paperSize="9" scale="3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lvaPdf_V7.SalvaPdf_V7">
                <anchor moveWithCells="1" sizeWithCells="1">
                  <from>
                    <xdr:col>4</xdr:col>
                    <xdr:colOff>228600</xdr:colOff>
                    <xdr:row>2</xdr:row>
                    <xdr:rowOff>152400</xdr:rowOff>
                  </from>
                  <to>
                    <xdr:col>5</xdr:col>
                    <xdr:colOff>1219200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G71"/>
  <sheetViews>
    <sheetView zoomScale="60" zoomScaleNormal="60" workbookViewId="0">
      <selection activeCell="B39" sqref="B39"/>
    </sheetView>
  </sheetViews>
  <sheetFormatPr defaultRowHeight="15" x14ac:dyDescent="0.25"/>
  <cols>
    <col min="1" max="1" width="59.42578125" style="19" bestFit="1" customWidth="1"/>
    <col min="2" max="2" width="28" style="8" customWidth="1"/>
    <col min="3" max="4" width="9.140625" style="8"/>
    <col min="5" max="5" width="65.85546875" style="8" customWidth="1"/>
    <col min="6" max="6" width="66.28515625" style="8" customWidth="1"/>
    <col min="7" max="7" width="27" style="8" bestFit="1" customWidth="1"/>
    <col min="8" max="8" width="70.5703125" style="8" customWidth="1"/>
    <col min="9" max="16384" width="9.140625" style="8"/>
  </cols>
  <sheetData>
    <row r="1" spans="1:7" ht="51" customHeight="1" x14ac:dyDescent="0.35">
      <c r="A1" s="5" t="s">
        <v>3</v>
      </c>
      <c r="B1" s="6" t="str">
        <f>MAPPA!D1</f>
        <v>ROBERTO</v>
      </c>
      <c r="C1" s="7"/>
      <c r="D1" s="7"/>
      <c r="E1" s="8" t="str">
        <f>"C:\MAPPA_DEI_TALENTI - "&amp;B1&amp;" - "&amp;B2&amp;"."&amp;B3&amp;"."&amp;B4&amp;".pdf"</f>
        <v>C:\MAPPA_DEI_TALENTI - ROBERTO - 28.1.1981.pdf</v>
      </c>
    </row>
    <row r="2" spans="1:7" ht="23.25" x14ac:dyDescent="0.35">
      <c r="A2" s="9" t="s">
        <v>0</v>
      </c>
      <c r="B2" s="10">
        <f>MAPPA!D2</f>
        <v>28</v>
      </c>
    </row>
    <row r="3" spans="1:7" ht="23.25" x14ac:dyDescent="0.35">
      <c r="A3" s="9" t="s">
        <v>1</v>
      </c>
      <c r="B3" s="10">
        <f>MAPPA!D3</f>
        <v>1</v>
      </c>
    </row>
    <row r="4" spans="1:7" ht="23.25" x14ac:dyDescent="0.35">
      <c r="A4" s="9" t="s">
        <v>2</v>
      </c>
      <c r="B4" s="10">
        <f>MAPPA!D4</f>
        <v>1981</v>
      </c>
      <c r="C4" s="8">
        <f ca="1">IF(B4&lt;=22,B4,SUMPRODUCT(MID(B4,ROW(INDIRECT("1:"&amp;LEN(B4))),1)*1))</f>
        <v>19</v>
      </c>
    </row>
    <row r="5" spans="1:7" ht="30" x14ac:dyDescent="0.35">
      <c r="A5" s="5" t="s">
        <v>4</v>
      </c>
      <c r="B5" s="10">
        <f>MAPPA!D5</f>
        <v>2023</v>
      </c>
    </row>
    <row r="6" spans="1:7" x14ac:dyDescent="0.25">
      <c r="A6" s="11"/>
    </row>
    <row r="7" spans="1:7" ht="21" x14ac:dyDescent="0.35">
      <c r="A7" s="9" t="s">
        <v>5</v>
      </c>
      <c r="B7" s="12">
        <f ca="1">IF(B2&lt;=22,B2,SUMPRODUCT(MID(B2,ROW(INDIRECT("1:"&amp;LEN(B2))),1)*1))</f>
        <v>10</v>
      </c>
    </row>
    <row r="8" spans="1:7" ht="21" x14ac:dyDescent="0.35">
      <c r="A8" s="9" t="s">
        <v>6</v>
      </c>
      <c r="B8" s="12">
        <f>B3</f>
        <v>1</v>
      </c>
    </row>
    <row r="9" spans="1:7" ht="21" x14ac:dyDescent="0.35">
      <c r="A9" s="9" t="s">
        <v>7</v>
      </c>
      <c r="B9" s="12">
        <f ca="1">IF(C4&lt;=22,C4,SUMPRODUCT(MID(C4,ROW(INDIRECT("1:"&amp;LEN(C4))),1)*1))</f>
        <v>19</v>
      </c>
    </row>
    <row r="10" spans="1:7" x14ac:dyDescent="0.25">
      <c r="A10" s="27"/>
    </row>
    <row r="11" spans="1:7" ht="21" x14ac:dyDescent="0.35">
      <c r="A11" s="13" t="s">
        <v>24</v>
      </c>
      <c r="B11" s="14">
        <f ca="1">LARGE(B7:B9,ROW([1]Foglio1!A1))-LARGE(B7:B9,ROW([1]Foglio1!A2))</f>
        <v>9</v>
      </c>
      <c r="C11" s="14">
        <f ca="1">IF(B11=0,22,B11)</f>
        <v>9</v>
      </c>
      <c r="D11" s="14">
        <f ca="1">LARGE(C11:C12,ROW([2]Foglio2!A1))-LARGE(C11:C12,ROW([2]Foglio2!A2))</f>
        <v>8</v>
      </c>
      <c r="E11" s="12">
        <f ca="1">IF(D11=0,22,D11)</f>
        <v>8</v>
      </c>
    </row>
    <row r="12" spans="1:7" x14ac:dyDescent="0.25">
      <c r="A12" s="15"/>
      <c r="B12" s="14"/>
      <c r="C12" s="14">
        <f ca="1">LARGE(B7:B9,ROW([1]Foglio1!A3))</f>
        <v>1</v>
      </c>
      <c r="D12" s="14"/>
      <c r="E12" s="14"/>
    </row>
    <row r="13" spans="1:7" x14ac:dyDescent="0.25">
      <c r="A13" s="16"/>
    </row>
    <row r="14" spans="1:7" x14ac:dyDescent="0.25">
      <c r="A14" s="11" t="s">
        <v>25</v>
      </c>
      <c r="B14" s="8" t="s">
        <v>26</v>
      </c>
      <c r="C14" s="8">
        <f>SUM(B2:B4)</f>
        <v>2010</v>
      </c>
      <c r="D14" s="8">
        <f ca="1">IF(C14&lt;=22,C14,SUMPRODUCT(MID(C14,ROW(INDIRECT("1:"&amp;LEN(C14))),1)*1))</f>
        <v>3</v>
      </c>
      <c r="E14" s="17">
        <f ca="1">IF(D14&lt;=22,D14,SUMPRODUCT(MID(D14,ROW(INDIRECT("1:"&amp;LEN(D14))),1)*1))</f>
        <v>3</v>
      </c>
      <c r="G14" s="8" t="str">
        <f>B14&amp;" ANNO "&amp;C14</f>
        <v>VERTICALE ANNO 2010</v>
      </c>
    </row>
    <row r="15" spans="1:7" x14ac:dyDescent="0.25">
      <c r="A15" s="16"/>
      <c r="B15" s="8" t="s">
        <v>27</v>
      </c>
      <c r="C15" s="8">
        <f ca="1">SUM(SUMPRODUCT(MID(B2,ROW(INDIRECT("1:"&amp;LEN(B2))),1)*1),SUMPRODUCT(MID(B3,ROW(INDIRECT("1:"&amp;LEN(B3))),1)*1),SUMPRODUCT(MID(B4,ROW(INDIRECT("1:"&amp;LEN(B4))),1)*1))</f>
        <v>30</v>
      </c>
      <c r="E15" s="18">
        <f ca="1">IF(C15&lt;=22,C15,SUMPRODUCT(MID(C15,ROW(INDIRECT("1:"&amp;LEN(C15))),1)*1))</f>
        <v>3</v>
      </c>
    </row>
    <row r="16" spans="1:7" x14ac:dyDescent="0.25">
      <c r="A16" s="16"/>
    </row>
    <row r="17" spans="1:4" ht="21" x14ac:dyDescent="0.35">
      <c r="A17" s="5" t="s">
        <v>28</v>
      </c>
      <c r="B17" s="12">
        <f ca="1">MAX(E14:E15)</f>
        <v>3</v>
      </c>
    </row>
    <row r="19" spans="1:4" ht="15.75" x14ac:dyDescent="0.25">
      <c r="A19" s="49" t="s">
        <v>8</v>
      </c>
      <c r="B19" s="49"/>
      <c r="C19" s="49"/>
      <c r="D19" s="49"/>
    </row>
    <row r="20" spans="1:4" ht="21" x14ac:dyDescent="0.35">
      <c r="A20" s="19" t="s">
        <v>9</v>
      </c>
      <c r="B20" s="8">
        <f ca="1">B7+B8</f>
        <v>11</v>
      </c>
      <c r="C20" s="12">
        <f ca="1">IF(B20&lt;=22,B20,SUMPRODUCT(MID(B20,ROW(INDIRECT("1:"&amp;LEN(B20))),1)*1))</f>
        <v>11</v>
      </c>
    </row>
    <row r="21" spans="1:4" ht="21" x14ac:dyDescent="0.35">
      <c r="A21" s="19" t="s">
        <v>10</v>
      </c>
      <c r="B21" s="8">
        <f ca="1">B7+C20</f>
        <v>21</v>
      </c>
      <c r="C21" s="12">
        <f ca="1">IF(B21&lt;=22,B21,SUMPRODUCT(MID(B21,ROW(INDIRECT("1:"&amp;LEN(B21))),1)*1))</f>
        <v>21</v>
      </c>
    </row>
    <row r="22" spans="1:4" ht="21" x14ac:dyDescent="0.35">
      <c r="A22" s="19" t="s">
        <v>11</v>
      </c>
      <c r="B22" s="8">
        <f ca="1">C20+C43</f>
        <v>18</v>
      </c>
      <c r="C22" s="12">
        <f ca="1">IF(B22&lt;=22,B22,SUMPRODUCT(MID(B22,ROW(INDIRECT("1:"&amp;LEN(B22))),1)*1))</f>
        <v>18</v>
      </c>
    </row>
    <row r="23" spans="1:4" ht="21" x14ac:dyDescent="0.35">
      <c r="A23" s="19" t="s">
        <v>32</v>
      </c>
      <c r="B23" s="8">
        <f ca="1">SUM(C20:C22)</f>
        <v>50</v>
      </c>
      <c r="C23" s="12">
        <f ca="1">IF(B23&lt;=22,B23,SUMPRODUCT(MID(B23,ROW(INDIRECT("1:"&amp;LEN(B23))),1)*1))</f>
        <v>5</v>
      </c>
    </row>
    <row r="25" spans="1:4" ht="15.75" x14ac:dyDescent="0.25">
      <c r="A25" s="49" t="s">
        <v>12</v>
      </c>
      <c r="B25" s="49"/>
      <c r="C25" s="49"/>
      <c r="D25" s="49"/>
    </row>
    <row r="26" spans="1:4" ht="21" x14ac:dyDescent="0.35">
      <c r="A26" s="19" t="s">
        <v>23</v>
      </c>
      <c r="B26" s="8">
        <f ca="1">B7+B9</f>
        <v>29</v>
      </c>
      <c r="C26" s="12">
        <f ca="1">IF(B26&lt;=22,B26,SUMPRODUCT(MID(B26,ROW(INDIRECT("1:"&amp;LEN(B26))),1)*1))</f>
        <v>11</v>
      </c>
    </row>
    <row r="27" spans="1:4" ht="21" x14ac:dyDescent="0.35">
      <c r="A27" s="19" t="s">
        <v>22</v>
      </c>
      <c r="B27" s="8">
        <f ca="1">B7+C26</f>
        <v>21</v>
      </c>
      <c r="C27" s="12">
        <f ca="1">IF(B27&lt;=22,B27,SUMPRODUCT(MID(B27,ROW(INDIRECT("1:"&amp;LEN(B27))),1)*1))</f>
        <v>21</v>
      </c>
    </row>
    <row r="28" spans="1:4" ht="21" x14ac:dyDescent="0.35">
      <c r="A28" s="19" t="s">
        <v>21</v>
      </c>
      <c r="B28" s="8">
        <f ca="1">C26+C43</f>
        <v>18</v>
      </c>
      <c r="C28" s="12">
        <f ca="1">IF(B28&lt;=22,B28,SUMPRODUCT(MID(B28,ROW(INDIRECT("1:"&amp;LEN(B28))),1)*1))</f>
        <v>18</v>
      </c>
    </row>
    <row r="29" spans="1:4" ht="21" x14ac:dyDescent="0.35">
      <c r="A29" s="19" t="s">
        <v>31</v>
      </c>
      <c r="B29" s="8">
        <f ca="1">SUM(C26:C28)</f>
        <v>50</v>
      </c>
      <c r="C29" s="12">
        <f ca="1">IF(B29&lt;=22,B29,SUMPRODUCT(MID(B29,ROW(INDIRECT("1:"&amp;LEN(B29))),1)*1))</f>
        <v>5</v>
      </c>
    </row>
    <row r="31" spans="1:4" ht="15.75" x14ac:dyDescent="0.25">
      <c r="A31" s="49" t="s">
        <v>13</v>
      </c>
      <c r="B31" s="49"/>
      <c r="C31" s="49"/>
      <c r="D31" s="49"/>
    </row>
    <row r="32" spans="1:4" ht="21" x14ac:dyDescent="0.35">
      <c r="A32" s="19" t="s">
        <v>20</v>
      </c>
      <c r="B32" s="8">
        <f ca="1">B8+B9</f>
        <v>20</v>
      </c>
      <c r="C32" s="12">
        <f ca="1">IF(B32&lt;=22,B32,SUMPRODUCT(MID(B32,ROW(INDIRECT("1:"&amp;LEN(B32))),1)*1))</f>
        <v>20</v>
      </c>
    </row>
    <row r="33" spans="1:4" ht="21" x14ac:dyDescent="0.35">
      <c r="A33" s="19" t="s">
        <v>19</v>
      </c>
      <c r="B33" s="8">
        <f ca="1">B7+C32</f>
        <v>30</v>
      </c>
      <c r="C33" s="12">
        <f ca="1">IF(B33&lt;=22,B33,SUMPRODUCT(MID(B33,ROW(INDIRECT("1:"&amp;LEN(B33))),1)*1))</f>
        <v>3</v>
      </c>
    </row>
    <row r="34" spans="1:4" ht="21" x14ac:dyDescent="0.35">
      <c r="A34" s="19" t="s">
        <v>18</v>
      </c>
      <c r="B34" s="8">
        <f ca="1">C32+C43</f>
        <v>27</v>
      </c>
      <c r="C34" s="12">
        <f ca="1">IF(B34&lt;=22,B34,SUMPRODUCT(MID(B34,ROW(INDIRECT("1:"&amp;LEN(B34))),1)*1))</f>
        <v>9</v>
      </c>
    </row>
    <row r="35" spans="1:4" ht="21" x14ac:dyDescent="0.35">
      <c r="A35" s="19" t="s">
        <v>30</v>
      </c>
      <c r="B35" s="8">
        <f ca="1">SUM(C32:C34)</f>
        <v>32</v>
      </c>
      <c r="C35" s="12">
        <f ca="1">IF(B35&lt;=22,B35,SUMPRODUCT(MID(B35,ROW(INDIRECT("1:"&amp;LEN(B35))),1)*1))</f>
        <v>5</v>
      </c>
    </row>
    <row r="37" spans="1:4" ht="15.75" x14ac:dyDescent="0.25">
      <c r="A37" s="49" t="s">
        <v>14</v>
      </c>
      <c r="B37" s="49"/>
      <c r="C37" s="49"/>
      <c r="D37" s="49"/>
    </row>
    <row r="38" spans="1:4" ht="21" x14ac:dyDescent="0.35">
      <c r="A38" s="19" t="s">
        <v>15</v>
      </c>
      <c r="B38" s="8">
        <f ca="1">C20+C32</f>
        <v>31</v>
      </c>
      <c r="C38" s="12">
        <f ca="1">IF(B38&lt;=22,B38,SUMPRODUCT(MID(B38,ROW(INDIRECT("1:"&amp;LEN(B38))),1)*1))</f>
        <v>4</v>
      </c>
    </row>
    <row r="39" spans="1:4" ht="21" x14ac:dyDescent="0.35">
      <c r="A39" s="19" t="s">
        <v>16</v>
      </c>
      <c r="B39" s="8">
        <f ca="1">B7+C38</f>
        <v>14</v>
      </c>
      <c r="C39" s="12">
        <f ca="1">IF(B39&lt;=22,B39,SUMPRODUCT(MID(B39,ROW(INDIRECT("1:"&amp;LEN(B39))),1)*1))</f>
        <v>14</v>
      </c>
    </row>
    <row r="40" spans="1:4" ht="21" x14ac:dyDescent="0.35">
      <c r="A40" s="19" t="s">
        <v>17</v>
      </c>
      <c r="B40" s="8">
        <f ca="1">C38+C43</f>
        <v>11</v>
      </c>
      <c r="C40" s="12">
        <f ca="1">IF(B40&lt;=22,B40,SUMPRODUCT(MID(B40,ROW(INDIRECT("1:"&amp;LEN(B40))),1)*1))</f>
        <v>11</v>
      </c>
    </row>
    <row r="41" spans="1:4" ht="21" x14ac:dyDescent="0.35">
      <c r="A41" s="19" t="s">
        <v>29</v>
      </c>
      <c r="B41" s="8">
        <f ca="1">SUM(C38:C40)</f>
        <v>29</v>
      </c>
      <c r="C41" s="12">
        <f ca="1">IF(B41&lt;=22,B41,SUMPRODUCT(MID(B41,ROW(INDIRECT("1:"&amp;LEN(B41))),1)*1))</f>
        <v>11</v>
      </c>
    </row>
    <row r="42" spans="1:4" ht="35.25" customHeight="1" x14ac:dyDescent="0.25"/>
    <row r="43" spans="1:4" ht="21" x14ac:dyDescent="0.35">
      <c r="A43" s="9" t="s">
        <v>33</v>
      </c>
      <c r="B43" s="8">
        <f ca="1">B17+C38</f>
        <v>7</v>
      </c>
      <c r="C43" s="12">
        <f ca="1">IF(B43&lt;=22,B43,SUMPRODUCT(MID(B43,ROW(INDIRECT("1:"&amp;LEN(B43))),1)*1))</f>
        <v>7</v>
      </c>
    </row>
    <row r="44" spans="1:4" ht="21" x14ac:dyDescent="0.35">
      <c r="A44" s="9" t="s">
        <v>36</v>
      </c>
      <c r="B44" s="8">
        <f ca="1">E11+C38</f>
        <v>12</v>
      </c>
      <c r="C44" s="12">
        <f ca="1">IF(B44&lt;=22,B44,SUMPRODUCT(MID(B44,ROW(INDIRECT("1:"&amp;LEN(B44))),1)*1))</f>
        <v>12</v>
      </c>
    </row>
    <row r="45" spans="1:4" ht="21" x14ac:dyDescent="0.35">
      <c r="A45" s="9" t="s">
        <v>34</v>
      </c>
      <c r="B45" s="8">
        <f ca="1">C26+B17</f>
        <v>14</v>
      </c>
      <c r="C45" s="12">
        <f ca="1">IF(B45&lt;=22,B45,SUMPRODUCT(MID(B45,ROW(INDIRECT("1:"&amp;LEN(B45))),1)*1))</f>
        <v>14</v>
      </c>
    </row>
    <row r="46" spans="1:4" ht="21" x14ac:dyDescent="0.35">
      <c r="A46" s="9" t="s">
        <v>35</v>
      </c>
      <c r="B46" s="8">
        <f ca="1">B7+C43</f>
        <v>17</v>
      </c>
      <c r="C46" s="12">
        <f ca="1">IF(B46&lt;=22,B46,SUMPRODUCT(MID(B46,ROW(INDIRECT("1:"&amp;LEN(B46))),1)*1))</f>
        <v>17</v>
      </c>
    </row>
    <row r="47" spans="1:4" ht="21" x14ac:dyDescent="0.35">
      <c r="A47" s="9" t="s">
        <v>37</v>
      </c>
      <c r="B47" s="8">
        <f ca="1">B7+B17</f>
        <v>13</v>
      </c>
      <c r="C47" s="12">
        <f ca="1">IF(B47&lt;=22,B47,SUMPRODUCT(MID(B47,ROW(INDIRECT("1:"&amp;LEN(B47))),1)*1))</f>
        <v>13</v>
      </c>
    </row>
    <row r="48" spans="1:4" ht="21" x14ac:dyDescent="0.35">
      <c r="A48" s="9" t="s">
        <v>38</v>
      </c>
      <c r="B48" s="8">
        <f ca="1">E11</f>
        <v>8</v>
      </c>
      <c r="C48" s="8">
        <f ca="1">LARGE(B48:B49,ROW([1]Foglio1!A1))-LARGE(B48:B49,ROW([1]Foglio1!A2))</f>
        <v>5</v>
      </c>
      <c r="D48" s="12">
        <f ca="1">IF(C48=0,22,C48)</f>
        <v>5</v>
      </c>
    </row>
    <row r="49" spans="1:7" x14ac:dyDescent="0.25">
      <c r="B49" s="8">
        <f ca="1">B17</f>
        <v>3</v>
      </c>
    </row>
    <row r="51" spans="1:7" x14ac:dyDescent="0.25">
      <c r="A51" s="19" t="s">
        <v>39</v>
      </c>
      <c r="B51" s="8" t="s">
        <v>26</v>
      </c>
      <c r="C51" s="8">
        <f>SUM(B2,B3,B5)</f>
        <v>2052</v>
      </c>
      <c r="D51" s="8">
        <f ca="1">IF(C51&lt;=22,C51,SUMPRODUCT(MID(C51,ROW(INDIRECT("1:"&amp;LEN(C51))),1)*1))</f>
        <v>9</v>
      </c>
      <c r="E51" s="17">
        <f ca="1">IF(D51&lt;=22,D51,SUMPRODUCT(MID(D51,ROW(INDIRECT("1:"&amp;LEN(D51))),1)*1))</f>
        <v>9</v>
      </c>
      <c r="G51" s="8" t="str">
        <f>B51&amp;" ANNO "&amp;C51</f>
        <v>VERTICALE ANNO 2052</v>
      </c>
    </row>
    <row r="52" spans="1:7" x14ac:dyDescent="0.25">
      <c r="B52" s="8" t="s">
        <v>27</v>
      </c>
      <c r="C52" s="8">
        <f ca="1">SUM(SUMPRODUCT(MID(B2,ROW(INDIRECT("1:"&amp;LEN(B2))),1)*1),SUMPRODUCT(MID(B3,ROW(INDIRECT("1:"&amp;LEN(B3))),1)*1),SUMPRODUCT(MID(B5,ROW(INDIRECT("1:"&amp;LEN(B5))),1)*1))</f>
        <v>18</v>
      </c>
      <c r="E52" s="18">
        <f ca="1">IF(C52&lt;=22,C52,SUMPRODUCT(MID(C52,ROW(INDIRECT("1:"&amp;LEN(C52))),1)*1))</f>
        <v>18</v>
      </c>
    </row>
    <row r="54" spans="1:7" ht="31.5" x14ac:dyDescent="0.35">
      <c r="A54" s="9" t="s">
        <v>40</v>
      </c>
      <c r="B54" s="12">
        <f ca="1">MAX(E51:E52)</f>
        <v>18</v>
      </c>
      <c r="E54" s="8" t="str">
        <f>"ANNO: "&amp;B5</f>
        <v>ANNO: 2023</v>
      </c>
    </row>
    <row r="55" spans="1:7" ht="21" x14ac:dyDescent="0.35">
      <c r="A55" s="20"/>
      <c r="B55" s="21"/>
      <c r="C55" s="22"/>
      <c r="D55" s="22"/>
    </row>
    <row r="56" spans="1:7" ht="21" x14ac:dyDescent="0.35">
      <c r="A56" s="20" t="s">
        <v>49</v>
      </c>
      <c r="B56" s="21"/>
      <c r="C56" s="22"/>
      <c r="D56" s="22"/>
    </row>
    <row r="57" spans="1:7" ht="21" x14ac:dyDescent="0.35">
      <c r="A57" s="19" t="s">
        <v>45</v>
      </c>
      <c r="B57" s="23">
        <f ca="1">MAX(B7,B8)-MIN(B7,B8)</f>
        <v>9</v>
      </c>
      <c r="C57" s="12">
        <f t="shared" ref="C57:C62" ca="1" si="0">IF(B57=0,22,B57)</f>
        <v>9</v>
      </c>
      <c r="D57" s="22"/>
    </row>
    <row r="58" spans="1:7" ht="21" x14ac:dyDescent="0.35">
      <c r="A58" s="19" t="s">
        <v>46</v>
      </c>
      <c r="B58" s="24">
        <f ca="1">MAX(B7,B9)-MIN(B7,B9)</f>
        <v>9</v>
      </c>
      <c r="C58" s="12">
        <f t="shared" ca="1" si="0"/>
        <v>9</v>
      </c>
      <c r="D58" s="22"/>
    </row>
    <row r="59" spans="1:7" ht="21" x14ac:dyDescent="0.35">
      <c r="A59" s="19" t="s">
        <v>47</v>
      </c>
      <c r="B59" s="24">
        <f ca="1">MAX(B8,B9)-MIN(B8,B9)</f>
        <v>18</v>
      </c>
      <c r="C59" s="12">
        <f t="shared" ca="1" si="0"/>
        <v>18</v>
      </c>
      <c r="D59" s="22"/>
    </row>
    <row r="60" spans="1:7" ht="21" x14ac:dyDescent="0.35">
      <c r="A60" s="19" t="s">
        <v>48</v>
      </c>
      <c r="B60" s="24">
        <f ca="1">MAX(C57,C59)-MIN(C57,C59)</f>
        <v>9</v>
      </c>
      <c r="C60" s="12">
        <f t="shared" ca="1" si="0"/>
        <v>9</v>
      </c>
      <c r="D60" s="22"/>
    </row>
    <row r="61" spans="1:7" ht="21" x14ac:dyDescent="0.35">
      <c r="A61" s="19" t="s">
        <v>50</v>
      </c>
      <c r="B61" s="24">
        <f ca="1">MAX(B17,C60)-MIN(B17,C60)</f>
        <v>6</v>
      </c>
      <c r="C61" s="12">
        <f t="shared" ca="1" si="0"/>
        <v>6</v>
      </c>
      <c r="D61" s="22"/>
    </row>
    <row r="62" spans="1:7" ht="21" x14ac:dyDescent="0.35">
      <c r="A62" s="19" t="s">
        <v>51</v>
      </c>
      <c r="B62" s="25">
        <f ca="1">MAX(E11,C60)-MIN(E11,C60)</f>
        <v>1</v>
      </c>
      <c r="C62" s="12">
        <f t="shared" ca="1" si="0"/>
        <v>1</v>
      </c>
    </row>
    <row r="64" spans="1:7" ht="15.75" x14ac:dyDescent="0.25">
      <c r="A64" s="50" t="s">
        <v>41</v>
      </c>
      <c r="B64" s="50"/>
      <c r="C64" s="50"/>
    </row>
    <row r="65" spans="1:3" ht="21" x14ac:dyDescent="0.35">
      <c r="A65" s="19" t="s">
        <v>42</v>
      </c>
      <c r="B65" s="12">
        <f ca="1">E11</f>
        <v>8</v>
      </c>
    </row>
    <row r="66" spans="1:3" ht="21" x14ac:dyDescent="0.35">
      <c r="A66" s="19" t="s">
        <v>43</v>
      </c>
      <c r="B66" s="25">
        <f ca="1">B65+B7</f>
        <v>18</v>
      </c>
      <c r="C66" s="12">
        <f ca="1">IF(B66&lt;=22,B66,SUMPRODUCT(MID(B66,ROW(INDIRECT("1:"&amp;LEN(B66))),1)*1))</f>
        <v>18</v>
      </c>
    </row>
    <row r="67" spans="1:3" ht="21" x14ac:dyDescent="0.35">
      <c r="A67" s="19" t="s">
        <v>44</v>
      </c>
      <c r="B67" s="25">
        <f ca="1">B65+C43</f>
        <v>15</v>
      </c>
      <c r="C67" s="12">
        <f ca="1">IF(B67&lt;=22,B67,SUMPRODUCT(MID(B67,ROW(INDIRECT("1:"&amp;LEN(B67))),1)*1))</f>
        <v>15</v>
      </c>
    </row>
    <row r="68" spans="1:3" ht="21" x14ac:dyDescent="0.35">
      <c r="A68" s="19" t="s">
        <v>52</v>
      </c>
      <c r="B68" s="8">
        <f ca="1">SUM(B65,C66,C67)</f>
        <v>41</v>
      </c>
      <c r="C68" s="12">
        <f ca="1">IF(B68&lt;=22,B68,SUMPRODUCT(MID(B68,ROW(INDIRECT("1:"&amp;LEN(B68))),1)*1))</f>
        <v>5</v>
      </c>
    </row>
    <row r="71" spans="1:3" ht="31.5" x14ac:dyDescent="0.35">
      <c r="A71" s="9" t="s">
        <v>53</v>
      </c>
      <c r="B71" s="8">
        <f ca="1">SUM(C20,C26,C32,C38)-E11</f>
        <v>38</v>
      </c>
      <c r="C71" s="12">
        <f ca="1">IF(B71&lt;=22,B71,SUMPRODUCT(MID(B71,ROW(INDIRECT("1:"&amp;LEN(B71))),1)*1))</f>
        <v>11</v>
      </c>
    </row>
  </sheetData>
  <sheetProtection algorithmName="SHA-512" hashValue="lFH/sDSrc7R+lmM/V6VQolMsuIRyUAB2nZS5pVicwJWJ6u5ilY7Y/Opeuo9RLPH1JTBQTrycMNpXfeBcXk2WvQ==" saltValue="ZPCjjnf31oUz2PsJHMnuEg==" spinCount="100000" sheet="1" objects="1" scenarios="1" selectLockedCells="1"/>
  <customSheetViews>
    <customSheetView guid="{6E89AB40-E0C1-4425-AF8F-3062D9F8C20A}" scale="60" topLeftCell="A10">
      <selection activeCell="A10" sqref="A1:IV65536"/>
      <pageMargins left="0.7" right="0.7" top="0.75" bottom="0.75" header="0.3" footer="0.3"/>
    </customSheetView>
  </customSheetViews>
  <mergeCells count="5">
    <mergeCell ref="A19:D19"/>
    <mergeCell ref="A25:D25"/>
    <mergeCell ref="A31:D31"/>
    <mergeCell ref="A37:D37"/>
    <mergeCell ref="A64:C64"/>
  </mergeCells>
  <pageMargins left="0.7" right="0.7" top="0.75" bottom="0.75" header="0.3" footer="0.3"/>
  <ignoredErrors>
    <ignoredError sqref="D11" formula="1"/>
    <ignoredError sqref="C1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1</vt:i4>
      </vt:variant>
    </vt:vector>
  </HeadingPairs>
  <TitlesOfParts>
    <vt:vector size="3" baseType="lpstr">
      <vt:lpstr>MAPPA</vt:lpstr>
      <vt:lpstr>DATI&amp;CALCOLI</vt:lpstr>
      <vt:lpstr>MAPPA!Area_stampa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</dc:creator>
  <cp:lastModifiedBy>Roberto Zulian</cp:lastModifiedBy>
  <cp:lastPrinted>2022-05-13T09:43:48Z</cp:lastPrinted>
  <dcterms:created xsi:type="dcterms:W3CDTF">2020-10-26T21:09:09Z</dcterms:created>
  <dcterms:modified xsi:type="dcterms:W3CDTF">2022-11-02T13:07:53Z</dcterms:modified>
</cp:coreProperties>
</file>